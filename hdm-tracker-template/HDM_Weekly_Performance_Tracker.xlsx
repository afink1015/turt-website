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er_List" sheetId="1" r:id="rId1"/>
    <sheet name="Team" sheetId="2" r:id="rId2"/>
    <sheet name="Weekly_Log" sheetId="3" r:id="rId3"/>
    <sheet name="Dashboar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4.83203125" customWidth="1"/>
    <col min="2" max="2" width="26.83203125" customWidth="1"/>
    <col min="3" max="3" width="18.83203125" customWidth="1"/>
  </cols>
  <sheetData>
    <row r="1">
      <c r="A1" t="str">
        <v>Expert Email</v>
      </c>
      <c r="B1" t="str">
        <v>Name</v>
      </c>
      <c r="C1" t="str">
        <v>Reviewer Level</v>
      </c>
    </row>
    <row r="2">
      <c r="A2" t="str">
        <v>rs09@expert.micro1.ai</v>
      </c>
      <c r="B2" t="str">
        <v>Remi Schlumberger</v>
      </c>
      <c r="C2" t="str">
        <v>Round 2</v>
      </c>
    </row>
    <row r="3">
      <c r="A3" t="str">
        <v>ns12@expert.micro1.ai</v>
      </c>
      <c r="B3" t="str">
        <v>Nenad Savic</v>
      </c>
      <c r="C3" t="str">
        <v>Round 2</v>
      </c>
    </row>
    <row r="4">
      <c r="A4" t="str">
        <v>ly01@expert.micro1.ai</v>
      </c>
      <c r="B4" t="str">
        <v>Lawrence Yi</v>
      </c>
      <c r="C4" t="str">
        <v>Round 2</v>
      </c>
    </row>
    <row r="5">
      <c r="A5" t="str">
        <v>pb14@expert.micro1.ai</v>
      </c>
      <c r="B5" t="str">
        <v>Patrick Blaise</v>
      </c>
      <c r="C5" t="str">
        <v>Round 2</v>
      </c>
    </row>
    <row r="6">
      <c r="A6" t="str">
        <v>am63@expert.micro1.ai</v>
      </c>
      <c r="B6" t="str">
        <v>Anumay Mishra</v>
      </c>
      <c r="C6" t="str">
        <v>Round 1</v>
      </c>
    </row>
    <row r="7">
      <c r="A7" t="str">
        <v>nd07@expert.micro1.ai</v>
      </c>
      <c r="B7" t="str">
        <v>Nishal Desai</v>
      </c>
      <c r="C7" t="str">
        <v>Round 1</v>
      </c>
    </row>
    <row r="8">
      <c r="A8" t="str">
        <v>sh12@expert.micro1.ai</v>
      </c>
      <c r="B8" t="str">
        <v>Sarah Hunter</v>
      </c>
      <c r="C8" t="str">
        <v>Round 2</v>
      </c>
    </row>
    <row r="9">
      <c r="A9" t="str">
        <v>sj10@expert.micro1.ai</v>
      </c>
      <c r="B9" t="str">
        <v>Shivam Jadoo</v>
      </c>
      <c r="C9" t="str">
        <v>Round 1</v>
      </c>
    </row>
    <row r="10">
      <c r="A10" t="str">
        <v>ma09@expert.micro1.ai</v>
      </c>
      <c r="B10" t="str">
        <v>Mahmood Aljaroodi</v>
      </c>
      <c r="C10" t="str">
        <v>Round 1</v>
      </c>
    </row>
    <row r="11">
      <c r="A11" t="str">
        <v>af15@expert.micro1.ai</v>
      </c>
      <c r="B11" t="str">
        <v>Ana Fernandez</v>
      </c>
      <c r="C11" t="str">
        <v>Round 1</v>
      </c>
    </row>
    <row r="12">
      <c r="A12" t="str">
        <v>ag42@expert.micro1.ai</v>
      </c>
      <c r="B12" t="str">
        <v>Alexandre GHASAROSSIAN</v>
      </c>
      <c r="C12" t="str">
        <v>Round 1</v>
      </c>
    </row>
    <row r="13">
      <c r="A13" t="str">
        <v>ms52@expert.micro1.ai</v>
      </c>
      <c r="B13" t="str">
        <v>Michal Sipos</v>
      </c>
      <c r="C13" t="str">
        <v>Round 1</v>
      </c>
    </row>
    <row r="14">
      <c r="A14" t="str">
        <v>co03@expert.micro1.ai</v>
      </c>
      <c r="B14" t="str">
        <v>Conor O'Gorman</v>
      </c>
      <c r="C14" t="str">
        <v>Round 1</v>
      </c>
    </row>
    <row r="15">
      <c r="A15" t="str">
        <v>mz04@expert.micro1.ai</v>
      </c>
      <c r="B15" t="str">
        <v>Murtaza Zaidi</v>
      </c>
      <c r="C15" t="str">
        <v>Round 1</v>
      </c>
    </row>
    <row r="16">
      <c r="A16" t="str">
        <v>ds13@expert.micro1.ai</v>
      </c>
      <c r="B16" t="str">
        <v>David Steinbrecher</v>
      </c>
      <c r="C16" t="str">
        <v>Round 1</v>
      </c>
    </row>
    <row r="17">
      <c r="A17" t="str">
        <v>mh08@expert.micro1.ai</v>
      </c>
      <c r="B17" t="str">
        <v>Melvan Hoo Jun Hong</v>
      </c>
      <c r="C17" t="str">
        <v>Removed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28.83203125" customWidth="1"/>
    <col min="2" max="2" width="26.83203125" customWidth="1"/>
    <col min="3" max="3" width="64.83203125" customWidth="1"/>
    <col min="4" max="4" width="12.83203125" customWidth="1"/>
    <col min="5" max="5" width="14.83203125" customWidth="1"/>
    <col min="6" max="6" width="14.83203125" customWidth="1"/>
    <col min="7" max="7" width="10.83203125" customWidth="1"/>
    <col min="8" max="8" width="36.83203125" customWidth="1"/>
  </cols>
  <sheetData>
    <row r="1">
      <c r="A1" t="str">
        <v>Name</v>
      </c>
      <c r="B1" t="str">
        <v>Expert Email</v>
      </c>
      <c r="C1" t="str">
        <v>Feather Profile</v>
      </c>
      <c r="D1" t="str">
        <v>Role</v>
      </c>
      <c r="E1" t="str">
        <v>Reviewer Level</v>
      </c>
      <c r="F1" t="str">
        <v>Weekly Target</v>
      </c>
      <c r="G1" t="str">
        <v>Active</v>
      </c>
      <c r="H1" t="str">
        <v>Notes</v>
      </c>
    </row>
    <row r="2">
      <c r="A2" t="str">
        <v>Remi Schlumberger</v>
      </c>
      <c r="B2" t="str">
        <v>rs09@expert.micro1.ai</v>
      </c>
      <c r="C2" t="str">
        <v>https://feather.openai.com/people/f74c08f0-2db3-4d19-adb1-13951ee48f38?campaign_id=81666bd5-6969-4eea-8ee8-1fe35f60088b&amp;tab=metrics</v>
      </c>
      <c r="D2" t="str">
        <v>Reviewer</v>
      </c>
      <c r="E2" t="str">
        <v>Round 2</v>
      </c>
      <c r="F2">
        <v>4</v>
      </c>
      <c r="G2" t="str">
        <v>Active</v>
      </c>
      <c r="H2" t="str">
        <v>Round 2 Reviewer</v>
      </c>
    </row>
    <row r="3">
      <c r="A3" t="str">
        <v>Nenad Savic</v>
      </c>
      <c r="B3" t="str">
        <v>ns12@expert.micro1.ai</v>
      </c>
      <c r="C3" t="str">
        <v>https://feather.openai.com/people/830ee1b3-b361-414c-9f04-9c24483963fd?tab=tasks&amp;users_tasks=in_progress</v>
      </c>
      <c r="D3" t="str">
        <v>Reviewer</v>
      </c>
      <c r="E3" t="str">
        <v>Round 2</v>
      </c>
      <c r="F3">
        <v>4</v>
      </c>
      <c r="G3" t="str">
        <v>Active</v>
      </c>
      <c r="H3" t="str">
        <v>Round 2 Reviewer</v>
      </c>
    </row>
    <row r="4">
      <c r="A4" t="str">
        <v>Papa Yaw Sencherey</v>
      </c>
      <c r="B4" t="str">
        <v>py01@expert.micro1.ai</v>
      </c>
      <c r="C4" t="str">
        <v>https://feather.openai.com/people/c489d7f5-6633-47af-9d21-820bdd549edf?tab=tasks&amp;users_tasks=in_progress</v>
      </c>
      <c r="D4" t="str">
        <v>Writer</v>
      </c>
      <c r="F4">
        <v>2</v>
      </c>
      <c r="G4" t="str">
        <v>Active</v>
      </c>
      <c r="H4" t="str">
        <v>task in progress 2/27</v>
      </c>
    </row>
    <row r="5">
      <c r="A5" t="str">
        <v>Lawrence Yi</v>
      </c>
      <c r="B5" t="str">
        <v>ly01@expert.micro1.ai</v>
      </c>
      <c r="C5" t="str">
        <v>https://feather.openai.com/people/023c9d7f-2838-47af-a456-21cbb73dd77a?tab=tasks&amp;users_tasks=in_progress</v>
      </c>
      <c r="D5" t="str">
        <v>Reviewer</v>
      </c>
      <c r="E5" t="str">
        <v>Round 2</v>
      </c>
      <c r="F5">
        <v>4</v>
      </c>
      <c r="G5" t="str">
        <v>Active</v>
      </c>
      <c r="H5" t="str">
        <v>Round 2 Reviewer</v>
      </c>
    </row>
    <row r="6">
      <c r="A6" t="str">
        <v>Ulysse Loayza-Desfontaines</v>
      </c>
      <c r="B6" t="str">
        <v>ul00@expert.micro1.ai</v>
      </c>
      <c r="C6" t="str">
        <v>https://feather.openai.com/people/1fba6b95-e30a-4ac4-9138-e98243c75555?tab=tasks&amp;users_tasks=in_progress</v>
      </c>
      <c r="D6" t="str">
        <v>Writer</v>
      </c>
      <c r="F6">
        <v>2</v>
      </c>
      <c r="G6" t="str">
        <v>Active</v>
      </c>
      <c r="H6" t="str">
        <v>needs work task 2/12</v>
      </c>
    </row>
    <row r="7">
      <c r="A7" t="str">
        <v>Patrick Blaise</v>
      </c>
      <c r="B7" t="str">
        <v>pb14@expert.micro1.ai</v>
      </c>
      <c r="C7" t="str">
        <v>https://feather.openai.com/people/1bd7975d-a145-4751-906c-14fbda2a5ee1?tab=tasks&amp;users_tasks=in_progress</v>
      </c>
      <c r="D7" t="str">
        <v>Reviewer</v>
      </c>
      <c r="E7" t="str">
        <v>Round 2</v>
      </c>
      <c r="F7">
        <v>4</v>
      </c>
      <c r="G7" t="str">
        <v>Active</v>
      </c>
      <c r="H7" t="str">
        <v>Round 2 Reviewer</v>
      </c>
    </row>
    <row r="8">
      <c r="A8" t="str">
        <v>Florian Meyer</v>
      </c>
      <c r="B8" t="str">
        <v>fm10@expert.micro1.ai</v>
      </c>
      <c r="C8" t="str">
        <v>https://feather.openai.com/people/fd50e6cb-9fbe-4421-a249-b15f451ab877?tab=tasks&amp;users_tasks=in_progress</v>
      </c>
      <c r="D8" t="str">
        <v>Writer</v>
      </c>
      <c r="F8">
        <v>2</v>
      </c>
      <c r="G8" t="str">
        <v>Active</v>
      </c>
      <c r="H8" t="str">
        <v>Nudged 2/13</v>
      </c>
    </row>
    <row r="9">
      <c r="A9" t="str">
        <v>Anumay Mishra</v>
      </c>
      <c r="B9" t="str">
        <v>am63@expert.micro1.ai</v>
      </c>
      <c r="C9" t="str">
        <v>https://feather.openai.com/people/6b8ad970-88c0-4e4e-8c8b-933c8e9a347f?tab=tasks&amp;users_tasks=in_progress</v>
      </c>
      <c r="D9" t="str">
        <v>Reviewer</v>
      </c>
      <c r="E9" t="str">
        <v>Round 1</v>
      </c>
      <c r="F9">
        <v>4</v>
      </c>
      <c r="G9" t="str">
        <v>Active</v>
      </c>
      <c r="H9" t="str">
        <v>Step 1 reviewer</v>
      </c>
    </row>
    <row r="10">
      <c r="A10" t="str">
        <v>Nishal Desai</v>
      </c>
      <c r="B10" t="str">
        <v>nd07@expert.micro1.ai</v>
      </c>
      <c r="C10" t="str">
        <v>https://feather.openai.com/people/3e8727a5-ab94-498a-a5f3-3b8cee5cc537?tab=tasks&amp;users_tasks=in_progress</v>
      </c>
      <c r="D10" t="str">
        <v>Reviewer</v>
      </c>
      <c r="E10" t="str">
        <v>Round 1</v>
      </c>
      <c r="F10">
        <v>4</v>
      </c>
      <c r="G10" t="str">
        <v>Active</v>
      </c>
      <c r="H10" t="str">
        <v>Step 1 reviewer</v>
      </c>
    </row>
    <row r="11">
      <c r="A11" t="str">
        <v>Altamish Nayani</v>
      </c>
      <c r="B11" t="str">
        <v>an23@expert.micro1.ai</v>
      </c>
      <c r="C11" t="str">
        <v>https://feather.openai.com/people/8d423d80-5f35-495a-8c76-28f78d45c97e?tab=tasks&amp;users_tasks=in_progress</v>
      </c>
      <c r="D11" t="str">
        <v>Writer</v>
      </c>
      <c r="F11">
        <v>2</v>
      </c>
      <c r="G11" t="str">
        <v>Active</v>
      </c>
      <c r="H11" t="str">
        <v>3 tasks in needs work as of 3/4</v>
      </c>
    </row>
    <row r="12">
      <c r="A12" t="str">
        <v>Sarah Hunter</v>
      </c>
      <c r="B12" t="str">
        <v>sh12@expert.micro1.ai</v>
      </c>
      <c r="C12" t="str">
        <v>https://feather.openai.com/people/a7e3e3c2-695c-455c-a6d1-3407d6ec2b3c?tab=tasks&amp;users_tasks=in_progress</v>
      </c>
      <c r="D12" t="str">
        <v>Reviewer</v>
      </c>
      <c r="E12" t="str">
        <v>Round 2</v>
      </c>
      <c r="F12">
        <v>4</v>
      </c>
      <c r="G12" t="str">
        <v>Active</v>
      </c>
      <c r="H12" t="str">
        <v>Round 2 Reviewer</v>
      </c>
    </row>
    <row r="13">
      <c r="A13" t="str">
        <v>Shivam Jadoo</v>
      </c>
      <c r="B13" t="str">
        <v>sj10@expert.micro1.ai</v>
      </c>
      <c r="C13" t="str">
        <v>https://feather.openai.com/people/1235b5d4-c1b7-4ec1-b424-c67c09d8c033?tab=tasks&amp;users_tasks=in_progress</v>
      </c>
      <c r="D13" t="str">
        <v>Reviewer</v>
      </c>
      <c r="E13" t="str">
        <v>Round 1</v>
      </c>
      <c r="F13">
        <v>4</v>
      </c>
      <c r="G13" t="str">
        <v>Active</v>
      </c>
      <c r="H13" t="str">
        <v>Step 1 reviewer</v>
      </c>
    </row>
    <row r="14">
      <c r="A14" t="str">
        <v>Brandon Chen</v>
      </c>
      <c r="B14" t="str">
        <v>bc08@expert.micro1.ai</v>
      </c>
      <c r="C14" t="str">
        <v>https://feather.openai.com/people/e1a83f40-d365-4b28-8671-fb96cf954e01?tab=tasks&amp;users_tasks=in_progress</v>
      </c>
      <c r="D14" t="str">
        <v>Writer</v>
      </c>
      <c r="F14">
        <v>2</v>
      </c>
      <c r="G14" t="str">
        <v>OOO</v>
      </c>
      <c r="H14" t="str">
        <v>OOO until 3/15</v>
      </c>
    </row>
    <row r="15">
      <c r="A15" t="str">
        <v>Mahmood Aljaroodi</v>
      </c>
      <c r="B15" t="str">
        <v>ma09@expert.micro1.ai</v>
      </c>
      <c r="C15" t="str">
        <v>https://feather.openai.com/people/ee39e72c-4b40-4125-86f8-a1d049472eb9?tab=tasks&amp;users_tasks=in_progress</v>
      </c>
      <c r="D15" t="str">
        <v>Reviewer</v>
      </c>
      <c r="E15" t="str">
        <v>Round 1</v>
      </c>
      <c r="F15">
        <v>4</v>
      </c>
      <c r="G15" t="str">
        <v>Active</v>
      </c>
      <c r="H15" t="str">
        <v>Step 1 reviewer</v>
      </c>
    </row>
    <row r="16">
      <c r="A16" t="str">
        <v>Parsia Afshari</v>
      </c>
      <c r="B16" t="str">
        <v>pa01@expert.micro1.ai</v>
      </c>
      <c r="C16" t="str">
        <v>https://feather.openai.com/people/145eec09-2c4c-483a-ba0d-cfeb9f2ac45c?tab=tasks&amp;users_tasks=in_progress</v>
      </c>
      <c r="D16" t="str">
        <v>Writer</v>
      </c>
      <c r="F16">
        <v>2</v>
      </c>
      <c r="G16" t="str">
        <v>Watch</v>
      </c>
      <c r="H16" t="str">
        <v>lagging/potential offboard</v>
      </c>
    </row>
    <row r="17">
      <c r="A17" t="str">
        <v>Murtaza Zaidi</v>
      </c>
      <c r="B17" t="str">
        <v>mz04@expert.micro1.ai</v>
      </c>
      <c r="C17" t="str">
        <v>https://feather.openai.com/people/17714198-c625-4580-be68-99a0d8dbdc4d?tab=tasks&amp;users_tasks=in_progress</v>
      </c>
      <c r="D17" t="str">
        <v>Reviewer</v>
      </c>
      <c r="E17" t="str">
        <v>Round 1</v>
      </c>
      <c r="F17">
        <v>4</v>
      </c>
      <c r="G17" t="str">
        <v>Active</v>
      </c>
    </row>
    <row r="18">
      <c r="A18" t="str">
        <v>Fadel Kabbaj</v>
      </c>
      <c r="B18" t="str">
        <v>fk07@expert.micro1.ai</v>
      </c>
      <c r="C18" t="str">
        <v>https://feather.openai.com/people/f90b32d6-aac4-4682-bbd3-ac698cd184d6?tab=tasks&amp;users_tasks=in_progress</v>
      </c>
      <c r="D18" t="str">
        <v>Writer</v>
      </c>
      <c r="F18">
        <v>2</v>
      </c>
      <c r="G18" t="str">
        <v>Active</v>
      </c>
      <c r="H18" t="str">
        <v>Can reassign tasks to</v>
      </c>
    </row>
    <row r="19">
      <c r="A19" t="str">
        <v>Ana Fernández</v>
      </c>
      <c r="B19" t="str">
        <v>af15@expert.micro1.ai</v>
      </c>
      <c r="C19" t="str">
        <v>https://feather.openai.com/people/c998e6e8-1da8-416a-9562-155f400d11a4?tab=tasks&amp;users_tasks=in_progress</v>
      </c>
      <c r="D19" t="str">
        <v>Reviewer</v>
      </c>
      <c r="E19" t="str">
        <v>Round 1</v>
      </c>
      <c r="F19">
        <v>4</v>
      </c>
      <c r="G19" t="str">
        <v>Active</v>
      </c>
      <c r="H19" t="str">
        <v>Step 1 reviewer</v>
      </c>
    </row>
    <row r="20">
      <c r="A20" t="str">
        <v>Alexandre GHASAROSSIAN</v>
      </c>
      <c r="B20" t="str">
        <v>ag42@expert.micro1.ai</v>
      </c>
      <c r="C20" t="str">
        <v>https://feather.openai.com/people/833902df-2feb-4008-b87b-034c4e7f457c?tab=tasks&amp;users_tasks=in_progress</v>
      </c>
      <c r="D20" t="str">
        <v>Reviewer</v>
      </c>
      <c r="E20" t="str">
        <v>Round 1</v>
      </c>
      <c r="F20">
        <v>4</v>
      </c>
      <c r="G20" t="str">
        <v>Active</v>
      </c>
      <c r="H20" t="str">
        <v>Step 1 reviewer</v>
      </c>
    </row>
    <row r="21">
      <c r="A21" t="str">
        <v>Michal Sipos</v>
      </c>
      <c r="B21" t="str">
        <v>ms52@expert.micro1.ai</v>
      </c>
      <c r="C21" t="str">
        <v>https://feather.openai.com/people/5f12e387-3cfb-471a-b3d4-2e0e4778a2b7?tab=tasks&amp;users_tasks=in_progress</v>
      </c>
      <c r="D21" t="str">
        <v>Reviewer</v>
      </c>
      <c r="E21" t="str">
        <v>Round 1</v>
      </c>
      <c r="F21">
        <v>4</v>
      </c>
      <c r="G21" t="str">
        <v>Active</v>
      </c>
      <c r="H21" t="str">
        <v>Step 1 reviewer</v>
      </c>
    </row>
    <row r="22">
      <c r="A22" t="str">
        <v>Jon Clark</v>
      </c>
      <c r="B22" t="str">
        <v>jc05@expert.micro1.ai</v>
      </c>
      <c r="C22" t="str">
        <v>https://feather.openai.com/people/f9bdbfdf-e0bb-422f-bba7-d118332e1504?tab=tasks&amp;users_tasks=in_progress</v>
      </c>
      <c r="D22" t="str">
        <v>Writer</v>
      </c>
      <c r="F22">
        <v>2</v>
      </c>
      <c r="G22" t="str">
        <v>Active</v>
      </c>
      <c r="H22" t="str">
        <v>check soon for progress</v>
      </c>
    </row>
    <row r="23">
      <c r="A23" t="str">
        <v>SeonJin Kim</v>
      </c>
      <c r="B23" t="str">
        <v>sk17@expert.micro1.ai</v>
      </c>
      <c r="C23" t="str">
        <v>https://feather.openai.com/people/55e68850-4998-470f-8e62-4a70b3763cfb?tab=tasks&amp;users_tasks=in_progress</v>
      </c>
      <c r="D23" t="str">
        <v>Writer</v>
      </c>
      <c r="F23">
        <v>2</v>
      </c>
      <c r="G23" t="str">
        <v>Active</v>
      </c>
    </row>
    <row r="24">
      <c r="A24" t="str">
        <v>Dawit Gebresellassie</v>
      </c>
      <c r="B24" t="str">
        <v>dg08@expert.micro1.ai</v>
      </c>
      <c r="C24" t="str">
        <v>https://feather.openai.com/people/adaa4c13-e122-48a1-a0ff-39b0563319e2?tab=tasks&amp;users_tasks=in_progress</v>
      </c>
      <c r="D24" t="str">
        <v>Writer</v>
      </c>
      <c r="F24">
        <v>2</v>
      </c>
      <c r="G24" t="str">
        <v>Active</v>
      </c>
      <c r="H24" t="str">
        <v>completed task 2/15</v>
      </c>
    </row>
    <row r="25">
      <c r="A25" t="str">
        <v>Conor O'Gorman</v>
      </c>
      <c r="B25" t="str">
        <v>co03@expert.micro1.ai</v>
      </c>
      <c r="C25" t="str">
        <v>https://feather.openai.com/people/a34c28e1-8551-494b-81c4-7f87b10ff9f1?tab=tasks&amp;users_tasks=in_progress</v>
      </c>
      <c r="D25" t="str">
        <v>Reviewer</v>
      </c>
      <c r="E25" t="str">
        <v>Round 1</v>
      </c>
      <c r="F25">
        <v>4</v>
      </c>
      <c r="G25" t="str">
        <v>Active</v>
      </c>
      <c r="H25" t="str">
        <v>Step 1 expert reviewer</v>
      </c>
    </row>
    <row r="26">
      <c r="A26" t="str">
        <v>Joseph Wei</v>
      </c>
      <c r="B26" t="str">
        <v>jw06@expert.micro1.ai</v>
      </c>
      <c r="C26" t="str">
        <v>https://feather.openai.com/people/5df370af-e24b-4717-b42f-9f6bd6c47e59?tab=tasks&amp;users_tasks=in_progress</v>
      </c>
      <c r="D26" t="str">
        <v>Writer</v>
      </c>
      <c r="F26">
        <v>2</v>
      </c>
      <c r="G26" t="str">
        <v>Active</v>
      </c>
    </row>
    <row r="27">
      <c r="A27" t="str">
        <v>David Steinbrecher</v>
      </c>
      <c r="B27" t="str">
        <v>ds13@expert.micro1.ai</v>
      </c>
      <c r="C27" t="str">
        <v>https://feather.openai.com/people/26203423-7ee5-4904-bfe7-d5df56b2aae6?tab=tasks&amp;users_tasks=in_progress</v>
      </c>
      <c r="D27" t="str">
        <v>Reviewer</v>
      </c>
      <c r="E27" t="str">
        <v>Round 1</v>
      </c>
      <c r="F27">
        <v>4</v>
      </c>
      <c r="G27" t="str">
        <v>Active</v>
      </c>
      <c r="H27" t="str">
        <v>Reviewer</v>
      </c>
    </row>
    <row r="28">
      <c r="A28" t="str">
        <v>Sean Mulrenan</v>
      </c>
      <c r="B28" t="str">
        <v>sm34@expert.micro1.ai</v>
      </c>
      <c r="C28" t="str">
        <v>https://feather.openai.com/people/d6317f00-65c1-44c4-84e9-b93f0fa01011?tab=tasks&amp;users_tasks=in_progress</v>
      </c>
      <c r="D28" t="str">
        <v>Writer</v>
      </c>
      <c r="F28">
        <v>2</v>
      </c>
      <c r="G28" t="str">
        <v>Watch</v>
      </c>
      <c r="H28" t="str">
        <v>Potential offboard</v>
      </c>
    </row>
    <row r="29">
      <c r="A29" t="str">
        <v>Melvan Hoo Jun Hong</v>
      </c>
      <c r="B29" t="str">
        <v>mh08@expert.micro1.ai</v>
      </c>
      <c r="C29" t="str">
        <v>https://feather.openai.com/people/b692b8c2-63bf-49e8-ac8e-c4d54d980d82?tab=tasks&amp;users_tasks=in_progress</v>
      </c>
      <c r="D29" t="str">
        <v>Reviewer</v>
      </c>
      <c r="E29" t="str">
        <v>Removed</v>
      </c>
      <c r="F29">
        <v>0</v>
      </c>
      <c r="G29" t="str">
        <v>Removed</v>
      </c>
      <c r="H29" t="str">
        <v>Step 1 expert reviewer</v>
      </c>
    </row>
  </sheetData>
  <ignoredErrors>
    <ignoredError numberStoredAsText="1" sqref="A1:H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00"/>
  <sheetViews>
    <sheetView workbookViewId="0"/>
  </sheetViews>
  <cols>
    <col min="1" max="1" width="14.83203125" customWidth="1"/>
    <col min="2" max="2" width="26.83203125" customWidth="1"/>
    <col min="3" max="3" width="28.83203125" customWidth="1"/>
    <col min="4" max="4" width="12.83203125" customWidth="1"/>
    <col min="5" max="5" width="18.83203125" customWidth="1"/>
    <col min="6" max="6" width="20.83203125" customWidth="1"/>
    <col min="7" max="7" width="14.83203125" customWidth="1"/>
    <col min="8" max="8" width="32.83203125" customWidth="1"/>
  </cols>
  <sheetData>
    <row r="1">
      <c r="A1" t="str">
        <v>Week Start</v>
      </c>
      <c r="B1" t="str">
        <v>Expert Email</v>
      </c>
      <c r="C1" t="str">
        <v>Name</v>
      </c>
      <c r="D1" t="str">
        <v>Role</v>
      </c>
      <c r="E1" t="str">
        <v>Tasks Signed Off</v>
      </c>
      <c r="F1" t="str">
        <v>Reviews Signed Off</v>
      </c>
      <c r="G1" t="str">
        <v>Total Output</v>
      </c>
      <c r="H1" t="str">
        <v>Notes</v>
      </c>
    </row>
    <row r="2">
      <c r="A2">
        <v>46089.833333333336</v>
      </c>
      <c r="C2">
        <f>IF(B2="","",IFERROR(XLOOKUP(B2,Team!B:B,Team!A:A),""))</f>
      </c>
      <c r="D2">
        <f>IF(B2="","",IFERROR(XLOOKUP(B2,Team!B:B,Team!D:D),""))</f>
      </c>
      <c r="G2">
        <f>IF(B2="","",E2+F2)</f>
      </c>
    </row>
    <row r="3">
      <c r="A3">
        <v>46096.833333333336</v>
      </c>
      <c r="C3">
        <f>IF(B3="","",IFERROR(XLOOKUP(B3,Team!B:B,Team!A:A),""))</f>
      </c>
      <c r="D3">
        <f>IF(B3="","",IFERROR(XLOOKUP(B3,Team!B:B,Team!D:D),""))</f>
      </c>
      <c r="G3">
        <f>IF(B3="","",E3+F3)</f>
      </c>
    </row>
    <row r="4">
      <c r="A4">
        <v>46103.833333333336</v>
      </c>
      <c r="C4">
        <f>IF(B4="","",IFERROR(XLOOKUP(B4,Team!B:B,Team!A:A),""))</f>
      </c>
      <c r="D4">
        <f>IF(B4="","",IFERROR(XLOOKUP(B4,Team!B:B,Team!D:D),""))</f>
      </c>
      <c r="G4">
        <f>IF(B4="","",E4+F4)</f>
      </c>
    </row>
    <row r="5">
      <c r="A5">
        <v>46110.833333333336</v>
      </c>
      <c r="C5">
        <f>IF(B5="","",IFERROR(XLOOKUP(B5,Team!B:B,Team!A:A),""))</f>
      </c>
      <c r="D5">
        <f>IF(B5="","",IFERROR(XLOOKUP(B5,Team!B:B,Team!D:D),""))</f>
      </c>
      <c r="G5">
        <f>IF(B5="","",E5+F5)</f>
      </c>
    </row>
    <row r="6">
      <c r="A6">
        <v>46117.833333333336</v>
      </c>
      <c r="C6">
        <f>IF(B6="","",IFERROR(XLOOKUP(B6,Team!B:B,Team!A:A),""))</f>
      </c>
      <c r="D6">
        <f>IF(B6="","",IFERROR(XLOOKUP(B6,Team!B:B,Team!D:D),""))</f>
      </c>
      <c r="G6">
        <f>IF(B6="","",E6+F6)</f>
      </c>
    </row>
    <row r="7">
      <c r="A7">
        <v>46124.833333333336</v>
      </c>
      <c r="C7">
        <f>IF(B7="","",IFERROR(XLOOKUP(B7,Team!B:B,Team!A:A),""))</f>
      </c>
      <c r="D7">
        <f>IF(B7="","",IFERROR(XLOOKUP(B7,Team!B:B,Team!D:D),""))</f>
      </c>
      <c r="G7">
        <f>IF(B7="","",E7+F7)</f>
      </c>
    </row>
    <row r="8">
      <c r="A8">
        <v>46131.833333333336</v>
      </c>
      <c r="C8">
        <f>IF(B8="","",IFERROR(XLOOKUP(B8,Team!B:B,Team!A:A),""))</f>
      </c>
      <c r="D8">
        <f>IF(B8="","",IFERROR(XLOOKUP(B8,Team!B:B,Team!D:D),""))</f>
      </c>
      <c r="G8">
        <f>IF(B8="","",E8+F8)</f>
      </c>
    </row>
    <row r="9">
      <c r="A9">
        <v>46138.833333333336</v>
      </c>
      <c r="C9">
        <f>IF(B9="","",IFERROR(XLOOKUP(B9,Team!B:B,Team!A:A),""))</f>
      </c>
      <c r="D9">
        <f>IF(B9="","",IFERROR(XLOOKUP(B9,Team!B:B,Team!D:D),""))</f>
      </c>
      <c r="G9">
        <f>IF(B9="","",E9+F9)</f>
      </c>
    </row>
    <row r="10">
      <c r="C10">
        <f>IF(B10="","",IFERROR(XLOOKUP(B10,Team!B:B,Team!A:A),""))</f>
      </c>
      <c r="D10">
        <f>IF(B10="","",IFERROR(XLOOKUP(B10,Team!B:B,Team!D:D),""))</f>
      </c>
      <c r="G10">
        <f>IF(B10="","",E10+F10)</f>
      </c>
    </row>
    <row r="11">
      <c r="C11">
        <f>IF(B11="","",IFERROR(XLOOKUP(B11,Team!B:B,Team!A:A),""))</f>
      </c>
      <c r="D11">
        <f>IF(B11="","",IFERROR(XLOOKUP(B11,Team!B:B,Team!D:D),""))</f>
      </c>
      <c r="G11">
        <f>IF(B11="","",E11+F11)</f>
      </c>
    </row>
    <row r="12">
      <c r="C12">
        <f>IF(B12="","",IFERROR(XLOOKUP(B12,Team!B:B,Team!A:A),""))</f>
      </c>
      <c r="D12">
        <f>IF(B12="","",IFERROR(XLOOKUP(B12,Team!B:B,Team!D:D),""))</f>
      </c>
      <c r="G12">
        <f>IF(B12="","",E12+F12)</f>
      </c>
    </row>
    <row r="13">
      <c r="C13">
        <f>IF(B13="","",IFERROR(XLOOKUP(B13,Team!B:B,Team!A:A),""))</f>
      </c>
      <c r="D13">
        <f>IF(B13="","",IFERROR(XLOOKUP(B13,Team!B:B,Team!D:D),""))</f>
      </c>
      <c r="G13">
        <f>IF(B13="","",E13+F13)</f>
      </c>
    </row>
    <row r="14">
      <c r="C14">
        <f>IF(B14="","",IFERROR(XLOOKUP(B14,Team!B:B,Team!A:A),""))</f>
      </c>
      <c r="D14">
        <f>IF(B14="","",IFERROR(XLOOKUP(B14,Team!B:B,Team!D:D),""))</f>
      </c>
      <c r="G14">
        <f>IF(B14="","",E14+F14)</f>
      </c>
    </row>
    <row r="15">
      <c r="C15">
        <f>IF(B15="","",IFERROR(XLOOKUP(B15,Team!B:B,Team!A:A),""))</f>
      </c>
      <c r="D15">
        <f>IF(B15="","",IFERROR(XLOOKUP(B15,Team!B:B,Team!D:D),""))</f>
      </c>
      <c r="G15">
        <f>IF(B15="","",E15+F15)</f>
      </c>
    </row>
    <row r="16">
      <c r="C16">
        <f>IF(B16="","",IFERROR(XLOOKUP(B16,Team!B:B,Team!A:A),""))</f>
      </c>
      <c r="D16">
        <f>IF(B16="","",IFERROR(XLOOKUP(B16,Team!B:B,Team!D:D),""))</f>
      </c>
      <c r="G16">
        <f>IF(B16="","",E16+F16)</f>
      </c>
    </row>
    <row r="17">
      <c r="C17">
        <f>IF(B17="","",IFERROR(XLOOKUP(B17,Team!B:B,Team!A:A),""))</f>
      </c>
      <c r="D17">
        <f>IF(B17="","",IFERROR(XLOOKUP(B17,Team!B:B,Team!D:D),""))</f>
      </c>
      <c r="G17">
        <f>IF(B17="","",E17+F17)</f>
      </c>
    </row>
    <row r="18">
      <c r="C18">
        <f>IF(B18="","",IFERROR(XLOOKUP(B18,Team!B:B,Team!A:A),""))</f>
      </c>
      <c r="D18">
        <f>IF(B18="","",IFERROR(XLOOKUP(B18,Team!B:B,Team!D:D),""))</f>
      </c>
      <c r="G18">
        <f>IF(B18="","",E18+F18)</f>
      </c>
    </row>
    <row r="19">
      <c r="C19">
        <f>IF(B19="","",IFERROR(XLOOKUP(B19,Team!B:B,Team!A:A),""))</f>
      </c>
      <c r="D19">
        <f>IF(B19="","",IFERROR(XLOOKUP(B19,Team!B:B,Team!D:D),""))</f>
      </c>
      <c r="G19">
        <f>IF(B19="","",E19+F19)</f>
      </c>
    </row>
    <row r="20">
      <c r="C20">
        <f>IF(B20="","",IFERROR(XLOOKUP(B20,Team!B:B,Team!A:A),""))</f>
      </c>
      <c r="D20">
        <f>IF(B20="","",IFERROR(XLOOKUP(B20,Team!B:B,Team!D:D),""))</f>
      </c>
      <c r="G20">
        <f>IF(B20="","",E20+F20)</f>
      </c>
    </row>
    <row r="21">
      <c r="C21">
        <f>IF(B21="","",IFERROR(XLOOKUP(B21,Team!B:B,Team!A:A),""))</f>
      </c>
      <c r="D21">
        <f>IF(B21="","",IFERROR(XLOOKUP(B21,Team!B:B,Team!D:D),""))</f>
      </c>
      <c r="G21">
        <f>IF(B21="","",E21+F21)</f>
      </c>
    </row>
    <row r="22">
      <c r="C22">
        <f>IF(B22="","",IFERROR(XLOOKUP(B22,Team!B:B,Team!A:A),""))</f>
      </c>
      <c r="D22">
        <f>IF(B22="","",IFERROR(XLOOKUP(B22,Team!B:B,Team!D:D),""))</f>
      </c>
      <c r="G22">
        <f>IF(B22="","",E22+F22)</f>
      </c>
    </row>
    <row r="23">
      <c r="C23">
        <f>IF(B23="","",IFERROR(XLOOKUP(B23,Team!B:B,Team!A:A),""))</f>
      </c>
      <c r="D23">
        <f>IF(B23="","",IFERROR(XLOOKUP(B23,Team!B:B,Team!D:D),""))</f>
      </c>
      <c r="G23">
        <f>IF(B23="","",E23+F23)</f>
      </c>
    </row>
    <row r="24">
      <c r="C24">
        <f>IF(B24="","",IFERROR(XLOOKUP(B24,Team!B:B,Team!A:A),""))</f>
      </c>
      <c r="D24">
        <f>IF(B24="","",IFERROR(XLOOKUP(B24,Team!B:B,Team!D:D),""))</f>
      </c>
      <c r="G24">
        <f>IF(B24="","",E24+F24)</f>
      </c>
    </row>
    <row r="25">
      <c r="C25">
        <f>IF(B25="","",IFERROR(XLOOKUP(B25,Team!B:B,Team!A:A),""))</f>
      </c>
      <c r="D25">
        <f>IF(B25="","",IFERROR(XLOOKUP(B25,Team!B:B,Team!D:D),""))</f>
      </c>
      <c r="G25">
        <f>IF(B25="","",E25+F25)</f>
      </c>
    </row>
    <row r="26">
      <c r="C26">
        <f>IF(B26="","",IFERROR(XLOOKUP(B26,Team!B:B,Team!A:A),""))</f>
      </c>
      <c r="D26">
        <f>IF(B26="","",IFERROR(XLOOKUP(B26,Team!B:B,Team!D:D),""))</f>
      </c>
      <c r="G26">
        <f>IF(B26="","",E26+F26)</f>
      </c>
    </row>
    <row r="27">
      <c r="C27">
        <f>IF(B27="","",IFERROR(XLOOKUP(B27,Team!B:B,Team!A:A),""))</f>
      </c>
      <c r="D27">
        <f>IF(B27="","",IFERROR(XLOOKUP(B27,Team!B:B,Team!D:D),""))</f>
      </c>
      <c r="G27">
        <f>IF(B27="","",E27+F27)</f>
      </c>
    </row>
    <row r="28">
      <c r="C28">
        <f>IF(B28="","",IFERROR(XLOOKUP(B28,Team!B:B,Team!A:A),""))</f>
      </c>
      <c r="D28">
        <f>IF(B28="","",IFERROR(XLOOKUP(B28,Team!B:B,Team!D:D),""))</f>
      </c>
      <c r="G28">
        <f>IF(B28="","",E28+F28)</f>
      </c>
    </row>
    <row r="29">
      <c r="C29">
        <f>IF(B29="","",IFERROR(XLOOKUP(B29,Team!B:B,Team!A:A),""))</f>
      </c>
      <c r="D29">
        <f>IF(B29="","",IFERROR(XLOOKUP(B29,Team!B:B,Team!D:D),""))</f>
      </c>
      <c r="G29">
        <f>IF(B29="","",E29+F29)</f>
      </c>
    </row>
    <row r="30">
      <c r="C30">
        <f>IF(B30="","",IFERROR(XLOOKUP(B30,Team!B:B,Team!A:A),""))</f>
      </c>
      <c r="D30">
        <f>IF(B30="","",IFERROR(XLOOKUP(B30,Team!B:B,Team!D:D),""))</f>
      </c>
      <c r="G30">
        <f>IF(B30="","",E30+F30)</f>
      </c>
    </row>
    <row r="31">
      <c r="C31">
        <f>IF(B31="","",IFERROR(XLOOKUP(B31,Team!B:B,Team!A:A),""))</f>
      </c>
      <c r="D31">
        <f>IF(B31="","",IFERROR(XLOOKUP(B31,Team!B:B,Team!D:D),""))</f>
      </c>
      <c r="G31">
        <f>IF(B31="","",E31+F31)</f>
      </c>
    </row>
    <row r="32">
      <c r="C32">
        <f>IF(B32="","",IFERROR(XLOOKUP(B32,Team!B:B,Team!A:A),""))</f>
      </c>
      <c r="D32">
        <f>IF(B32="","",IFERROR(XLOOKUP(B32,Team!B:B,Team!D:D),""))</f>
      </c>
      <c r="G32">
        <f>IF(B32="","",E32+F32)</f>
      </c>
    </row>
    <row r="33">
      <c r="C33">
        <f>IF(B33="","",IFERROR(XLOOKUP(B33,Team!B:B,Team!A:A),""))</f>
      </c>
      <c r="D33">
        <f>IF(B33="","",IFERROR(XLOOKUP(B33,Team!B:B,Team!D:D),""))</f>
      </c>
      <c r="G33">
        <f>IF(B33="","",E33+F33)</f>
      </c>
    </row>
    <row r="34">
      <c r="C34">
        <f>IF(B34="","",IFERROR(XLOOKUP(B34,Team!B:B,Team!A:A),""))</f>
      </c>
      <c r="D34">
        <f>IF(B34="","",IFERROR(XLOOKUP(B34,Team!B:B,Team!D:D),""))</f>
      </c>
      <c r="G34">
        <f>IF(B34="","",E34+F34)</f>
      </c>
    </row>
    <row r="35">
      <c r="C35">
        <f>IF(B35="","",IFERROR(XLOOKUP(B35,Team!B:B,Team!A:A),""))</f>
      </c>
      <c r="D35">
        <f>IF(B35="","",IFERROR(XLOOKUP(B35,Team!B:B,Team!D:D),""))</f>
      </c>
      <c r="G35">
        <f>IF(B35="","",E35+F35)</f>
      </c>
    </row>
    <row r="36">
      <c r="C36">
        <f>IF(B36="","",IFERROR(XLOOKUP(B36,Team!B:B,Team!A:A),""))</f>
      </c>
      <c r="D36">
        <f>IF(B36="","",IFERROR(XLOOKUP(B36,Team!B:B,Team!D:D),""))</f>
      </c>
      <c r="G36">
        <f>IF(B36="","",E36+F36)</f>
      </c>
    </row>
    <row r="37">
      <c r="C37">
        <f>IF(B37="","",IFERROR(XLOOKUP(B37,Team!B:B,Team!A:A),""))</f>
      </c>
      <c r="D37">
        <f>IF(B37="","",IFERROR(XLOOKUP(B37,Team!B:B,Team!D:D),""))</f>
      </c>
      <c r="G37">
        <f>IF(B37="","",E37+F37)</f>
      </c>
    </row>
    <row r="38">
      <c r="C38">
        <f>IF(B38="","",IFERROR(XLOOKUP(B38,Team!B:B,Team!A:A),""))</f>
      </c>
      <c r="D38">
        <f>IF(B38="","",IFERROR(XLOOKUP(B38,Team!B:B,Team!D:D),""))</f>
      </c>
      <c r="G38">
        <f>IF(B38="","",E38+F38)</f>
      </c>
    </row>
    <row r="39">
      <c r="C39">
        <f>IF(B39="","",IFERROR(XLOOKUP(B39,Team!B:B,Team!A:A),""))</f>
      </c>
      <c r="D39">
        <f>IF(B39="","",IFERROR(XLOOKUP(B39,Team!B:B,Team!D:D),""))</f>
      </c>
      <c r="G39">
        <f>IF(B39="","",E39+F39)</f>
      </c>
    </row>
    <row r="40">
      <c r="C40">
        <f>IF(B40="","",IFERROR(XLOOKUP(B40,Team!B:B,Team!A:A),""))</f>
      </c>
      <c r="D40">
        <f>IF(B40="","",IFERROR(XLOOKUP(B40,Team!B:B,Team!D:D),""))</f>
      </c>
      <c r="G40">
        <f>IF(B40="","",E40+F40)</f>
      </c>
    </row>
    <row r="41">
      <c r="C41">
        <f>IF(B41="","",IFERROR(XLOOKUP(B41,Team!B:B,Team!A:A),""))</f>
      </c>
      <c r="D41">
        <f>IF(B41="","",IFERROR(XLOOKUP(B41,Team!B:B,Team!D:D),""))</f>
      </c>
      <c r="G41">
        <f>IF(B41="","",E41+F41)</f>
      </c>
    </row>
    <row r="42">
      <c r="C42">
        <f>IF(B42="","",IFERROR(XLOOKUP(B42,Team!B:B,Team!A:A),""))</f>
      </c>
      <c r="D42">
        <f>IF(B42="","",IFERROR(XLOOKUP(B42,Team!B:B,Team!D:D),""))</f>
      </c>
      <c r="G42">
        <f>IF(B42="","",E42+F42)</f>
      </c>
    </row>
    <row r="43">
      <c r="C43">
        <f>IF(B43="","",IFERROR(XLOOKUP(B43,Team!B:B,Team!A:A),""))</f>
      </c>
      <c r="D43">
        <f>IF(B43="","",IFERROR(XLOOKUP(B43,Team!B:B,Team!D:D),""))</f>
      </c>
      <c r="G43">
        <f>IF(B43="","",E43+F43)</f>
      </c>
    </row>
    <row r="44">
      <c r="C44">
        <f>IF(B44="","",IFERROR(XLOOKUP(B44,Team!B:B,Team!A:A),""))</f>
      </c>
      <c r="D44">
        <f>IF(B44="","",IFERROR(XLOOKUP(B44,Team!B:B,Team!D:D),""))</f>
      </c>
      <c r="G44">
        <f>IF(B44="","",E44+F44)</f>
      </c>
    </row>
    <row r="45">
      <c r="C45">
        <f>IF(B45="","",IFERROR(XLOOKUP(B45,Team!B:B,Team!A:A),""))</f>
      </c>
      <c r="D45">
        <f>IF(B45="","",IFERROR(XLOOKUP(B45,Team!B:B,Team!D:D),""))</f>
      </c>
      <c r="G45">
        <f>IF(B45="","",E45+F45)</f>
      </c>
    </row>
    <row r="46">
      <c r="C46">
        <f>IF(B46="","",IFERROR(XLOOKUP(B46,Team!B:B,Team!A:A),""))</f>
      </c>
      <c r="D46">
        <f>IF(B46="","",IFERROR(XLOOKUP(B46,Team!B:B,Team!D:D),""))</f>
      </c>
      <c r="G46">
        <f>IF(B46="","",E46+F46)</f>
      </c>
    </row>
    <row r="47">
      <c r="C47">
        <f>IF(B47="","",IFERROR(XLOOKUP(B47,Team!B:B,Team!A:A),""))</f>
      </c>
      <c r="D47">
        <f>IF(B47="","",IFERROR(XLOOKUP(B47,Team!B:B,Team!D:D),""))</f>
      </c>
      <c r="G47">
        <f>IF(B47="","",E47+F47)</f>
      </c>
    </row>
    <row r="48">
      <c r="C48">
        <f>IF(B48="","",IFERROR(XLOOKUP(B48,Team!B:B,Team!A:A),""))</f>
      </c>
      <c r="D48">
        <f>IF(B48="","",IFERROR(XLOOKUP(B48,Team!B:B,Team!D:D),""))</f>
      </c>
      <c r="G48">
        <f>IF(B48="","",E48+F48)</f>
      </c>
    </row>
    <row r="49">
      <c r="C49">
        <f>IF(B49="","",IFERROR(XLOOKUP(B49,Team!B:B,Team!A:A),""))</f>
      </c>
      <c r="D49">
        <f>IF(B49="","",IFERROR(XLOOKUP(B49,Team!B:B,Team!D:D),""))</f>
      </c>
      <c r="G49">
        <f>IF(B49="","",E49+F49)</f>
      </c>
    </row>
    <row r="50">
      <c r="C50">
        <f>IF(B50="","",IFERROR(XLOOKUP(B50,Team!B:B,Team!A:A),""))</f>
      </c>
      <c r="D50">
        <f>IF(B50="","",IFERROR(XLOOKUP(B50,Team!B:B,Team!D:D),""))</f>
      </c>
      <c r="G50">
        <f>IF(B50="","",E50+F50)</f>
      </c>
    </row>
    <row r="51">
      <c r="C51">
        <f>IF(B51="","",IFERROR(XLOOKUP(B51,Team!B:B,Team!A:A),""))</f>
      </c>
      <c r="D51">
        <f>IF(B51="","",IFERROR(XLOOKUP(B51,Team!B:B,Team!D:D),""))</f>
      </c>
      <c r="G51">
        <f>IF(B51="","",E51+F51)</f>
      </c>
    </row>
    <row r="52">
      <c r="C52">
        <f>IF(B52="","",IFERROR(XLOOKUP(B52,Team!B:B,Team!A:A),""))</f>
      </c>
      <c r="D52">
        <f>IF(B52="","",IFERROR(XLOOKUP(B52,Team!B:B,Team!D:D),""))</f>
      </c>
      <c r="G52">
        <f>IF(B52="","",E52+F52)</f>
      </c>
    </row>
    <row r="53">
      <c r="C53">
        <f>IF(B53="","",IFERROR(XLOOKUP(B53,Team!B:B,Team!A:A),""))</f>
      </c>
      <c r="D53">
        <f>IF(B53="","",IFERROR(XLOOKUP(B53,Team!B:B,Team!D:D),""))</f>
      </c>
      <c r="G53">
        <f>IF(B53="","",E53+F53)</f>
      </c>
    </row>
    <row r="54">
      <c r="C54">
        <f>IF(B54="","",IFERROR(XLOOKUP(B54,Team!B:B,Team!A:A),""))</f>
      </c>
      <c r="D54">
        <f>IF(B54="","",IFERROR(XLOOKUP(B54,Team!B:B,Team!D:D),""))</f>
      </c>
      <c r="G54">
        <f>IF(B54="","",E54+F54)</f>
      </c>
    </row>
    <row r="55">
      <c r="C55">
        <f>IF(B55="","",IFERROR(XLOOKUP(B55,Team!B:B,Team!A:A),""))</f>
      </c>
      <c r="D55">
        <f>IF(B55="","",IFERROR(XLOOKUP(B55,Team!B:B,Team!D:D),""))</f>
      </c>
      <c r="G55">
        <f>IF(B55="","",E55+F55)</f>
      </c>
    </row>
    <row r="56">
      <c r="C56">
        <f>IF(B56="","",IFERROR(XLOOKUP(B56,Team!B:B,Team!A:A),""))</f>
      </c>
      <c r="D56">
        <f>IF(B56="","",IFERROR(XLOOKUP(B56,Team!B:B,Team!D:D),""))</f>
      </c>
      <c r="G56">
        <f>IF(B56="","",E56+F56)</f>
      </c>
    </row>
    <row r="57">
      <c r="C57">
        <f>IF(B57="","",IFERROR(XLOOKUP(B57,Team!B:B,Team!A:A),""))</f>
      </c>
      <c r="D57">
        <f>IF(B57="","",IFERROR(XLOOKUP(B57,Team!B:B,Team!D:D),""))</f>
      </c>
      <c r="G57">
        <f>IF(B57="","",E57+F57)</f>
      </c>
    </row>
    <row r="58">
      <c r="C58">
        <f>IF(B58="","",IFERROR(XLOOKUP(B58,Team!B:B,Team!A:A),""))</f>
      </c>
      <c r="D58">
        <f>IF(B58="","",IFERROR(XLOOKUP(B58,Team!B:B,Team!D:D),""))</f>
      </c>
      <c r="G58">
        <f>IF(B58="","",E58+F58)</f>
      </c>
    </row>
    <row r="59">
      <c r="C59">
        <f>IF(B59="","",IFERROR(XLOOKUP(B59,Team!B:B,Team!A:A),""))</f>
      </c>
      <c r="D59">
        <f>IF(B59="","",IFERROR(XLOOKUP(B59,Team!B:B,Team!D:D),""))</f>
      </c>
      <c r="G59">
        <f>IF(B59="","",E59+F59)</f>
      </c>
    </row>
    <row r="60">
      <c r="C60">
        <f>IF(B60="","",IFERROR(XLOOKUP(B60,Team!B:B,Team!A:A),""))</f>
      </c>
      <c r="D60">
        <f>IF(B60="","",IFERROR(XLOOKUP(B60,Team!B:B,Team!D:D),""))</f>
      </c>
      <c r="G60">
        <f>IF(B60="","",E60+F60)</f>
      </c>
    </row>
    <row r="61">
      <c r="C61">
        <f>IF(B61="","",IFERROR(XLOOKUP(B61,Team!B:B,Team!A:A),""))</f>
      </c>
      <c r="D61">
        <f>IF(B61="","",IFERROR(XLOOKUP(B61,Team!B:B,Team!D:D),""))</f>
      </c>
      <c r="G61">
        <f>IF(B61="","",E61+F61)</f>
      </c>
    </row>
    <row r="62">
      <c r="C62">
        <f>IF(B62="","",IFERROR(XLOOKUP(B62,Team!B:B,Team!A:A),""))</f>
      </c>
      <c r="D62">
        <f>IF(B62="","",IFERROR(XLOOKUP(B62,Team!B:B,Team!D:D),""))</f>
      </c>
      <c r="G62">
        <f>IF(B62="","",E62+F62)</f>
      </c>
    </row>
    <row r="63">
      <c r="C63">
        <f>IF(B63="","",IFERROR(XLOOKUP(B63,Team!B:B,Team!A:A),""))</f>
      </c>
      <c r="D63">
        <f>IF(B63="","",IFERROR(XLOOKUP(B63,Team!B:B,Team!D:D),""))</f>
      </c>
      <c r="G63">
        <f>IF(B63="","",E63+F63)</f>
      </c>
    </row>
    <row r="64">
      <c r="C64">
        <f>IF(B64="","",IFERROR(XLOOKUP(B64,Team!B:B,Team!A:A),""))</f>
      </c>
      <c r="D64">
        <f>IF(B64="","",IFERROR(XLOOKUP(B64,Team!B:B,Team!D:D),""))</f>
      </c>
      <c r="G64">
        <f>IF(B64="","",E64+F64)</f>
      </c>
    </row>
    <row r="65">
      <c r="C65">
        <f>IF(B65="","",IFERROR(XLOOKUP(B65,Team!B:B,Team!A:A),""))</f>
      </c>
      <c r="D65">
        <f>IF(B65="","",IFERROR(XLOOKUP(B65,Team!B:B,Team!D:D),""))</f>
      </c>
      <c r="G65">
        <f>IF(B65="","",E65+F65)</f>
      </c>
    </row>
    <row r="66">
      <c r="C66">
        <f>IF(B66="","",IFERROR(XLOOKUP(B66,Team!B:B,Team!A:A),""))</f>
      </c>
      <c r="D66">
        <f>IF(B66="","",IFERROR(XLOOKUP(B66,Team!B:B,Team!D:D),""))</f>
      </c>
      <c r="G66">
        <f>IF(B66="","",E66+F66)</f>
      </c>
    </row>
    <row r="67">
      <c r="C67">
        <f>IF(B67="","",IFERROR(XLOOKUP(B67,Team!B:B,Team!A:A),""))</f>
      </c>
      <c r="D67">
        <f>IF(B67="","",IFERROR(XLOOKUP(B67,Team!B:B,Team!D:D),""))</f>
      </c>
      <c r="G67">
        <f>IF(B67="","",E67+F67)</f>
      </c>
    </row>
    <row r="68">
      <c r="C68">
        <f>IF(B68="","",IFERROR(XLOOKUP(B68,Team!B:B,Team!A:A),""))</f>
      </c>
      <c r="D68">
        <f>IF(B68="","",IFERROR(XLOOKUP(B68,Team!B:B,Team!D:D),""))</f>
      </c>
      <c r="G68">
        <f>IF(B68="","",E68+F68)</f>
      </c>
    </row>
    <row r="69">
      <c r="C69">
        <f>IF(B69="","",IFERROR(XLOOKUP(B69,Team!B:B,Team!A:A),""))</f>
      </c>
      <c r="D69">
        <f>IF(B69="","",IFERROR(XLOOKUP(B69,Team!B:B,Team!D:D),""))</f>
      </c>
      <c r="G69">
        <f>IF(B69="","",E69+F69)</f>
      </c>
    </row>
    <row r="70">
      <c r="C70">
        <f>IF(B70="","",IFERROR(XLOOKUP(B70,Team!B:B,Team!A:A),""))</f>
      </c>
      <c r="D70">
        <f>IF(B70="","",IFERROR(XLOOKUP(B70,Team!B:B,Team!D:D),""))</f>
      </c>
      <c r="G70">
        <f>IF(B70="","",E70+F70)</f>
      </c>
    </row>
    <row r="71">
      <c r="C71">
        <f>IF(B71="","",IFERROR(XLOOKUP(B71,Team!B:B,Team!A:A),""))</f>
      </c>
      <c r="D71">
        <f>IF(B71="","",IFERROR(XLOOKUP(B71,Team!B:B,Team!D:D),""))</f>
      </c>
      <c r="G71">
        <f>IF(B71="","",E71+F71)</f>
      </c>
    </row>
    <row r="72">
      <c r="C72">
        <f>IF(B72="","",IFERROR(XLOOKUP(B72,Team!B:B,Team!A:A),""))</f>
      </c>
      <c r="D72">
        <f>IF(B72="","",IFERROR(XLOOKUP(B72,Team!B:B,Team!D:D),""))</f>
      </c>
      <c r="G72">
        <f>IF(B72="","",E72+F72)</f>
      </c>
    </row>
    <row r="73">
      <c r="C73">
        <f>IF(B73="","",IFERROR(XLOOKUP(B73,Team!B:B,Team!A:A),""))</f>
      </c>
      <c r="D73">
        <f>IF(B73="","",IFERROR(XLOOKUP(B73,Team!B:B,Team!D:D),""))</f>
      </c>
      <c r="G73">
        <f>IF(B73="","",E73+F73)</f>
      </c>
    </row>
    <row r="74">
      <c r="C74">
        <f>IF(B74="","",IFERROR(XLOOKUP(B74,Team!B:B,Team!A:A),""))</f>
      </c>
      <c r="D74">
        <f>IF(B74="","",IFERROR(XLOOKUP(B74,Team!B:B,Team!D:D),""))</f>
      </c>
      <c r="G74">
        <f>IF(B74="","",E74+F74)</f>
      </c>
    </row>
    <row r="75">
      <c r="C75">
        <f>IF(B75="","",IFERROR(XLOOKUP(B75,Team!B:B,Team!A:A),""))</f>
      </c>
      <c r="D75">
        <f>IF(B75="","",IFERROR(XLOOKUP(B75,Team!B:B,Team!D:D),""))</f>
      </c>
      <c r="G75">
        <f>IF(B75="","",E75+F75)</f>
      </c>
    </row>
    <row r="76">
      <c r="C76">
        <f>IF(B76="","",IFERROR(XLOOKUP(B76,Team!B:B,Team!A:A),""))</f>
      </c>
      <c r="D76">
        <f>IF(B76="","",IFERROR(XLOOKUP(B76,Team!B:B,Team!D:D),""))</f>
      </c>
      <c r="G76">
        <f>IF(B76="","",E76+F76)</f>
      </c>
    </row>
    <row r="77">
      <c r="C77">
        <f>IF(B77="","",IFERROR(XLOOKUP(B77,Team!B:B,Team!A:A),""))</f>
      </c>
      <c r="D77">
        <f>IF(B77="","",IFERROR(XLOOKUP(B77,Team!B:B,Team!D:D),""))</f>
      </c>
      <c r="G77">
        <f>IF(B77="","",E77+F77)</f>
      </c>
    </row>
    <row r="78">
      <c r="C78">
        <f>IF(B78="","",IFERROR(XLOOKUP(B78,Team!B:B,Team!A:A),""))</f>
      </c>
      <c r="D78">
        <f>IF(B78="","",IFERROR(XLOOKUP(B78,Team!B:B,Team!D:D),""))</f>
      </c>
      <c r="G78">
        <f>IF(B78="","",E78+F78)</f>
      </c>
    </row>
    <row r="79">
      <c r="C79">
        <f>IF(B79="","",IFERROR(XLOOKUP(B79,Team!B:B,Team!A:A),""))</f>
      </c>
      <c r="D79">
        <f>IF(B79="","",IFERROR(XLOOKUP(B79,Team!B:B,Team!D:D),""))</f>
      </c>
      <c r="G79">
        <f>IF(B79="","",E79+F79)</f>
      </c>
    </row>
    <row r="80">
      <c r="C80">
        <f>IF(B80="","",IFERROR(XLOOKUP(B80,Team!B:B,Team!A:A),""))</f>
      </c>
      <c r="D80">
        <f>IF(B80="","",IFERROR(XLOOKUP(B80,Team!B:B,Team!D:D),""))</f>
      </c>
      <c r="G80">
        <f>IF(B80="","",E80+F80)</f>
      </c>
    </row>
    <row r="81">
      <c r="C81">
        <f>IF(B81="","",IFERROR(XLOOKUP(B81,Team!B:B,Team!A:A),""))</f>
      </c>
      <c r="D81">
        <f>IF(B81="","",IFERROR(XLOOKUP(B81,Team!B:B,Team!D:D),""))</f>
      </c>
      <c r="G81">
        <f>IF(B81="","",E81+F81)</f>
      </c>
    </row>
    <row r="82">
      <c r="C82">
        <f>IF(B82="","",IFERROR(XLOOKUP(B82,Team!B:B,Team!A:A),""))</f>
      </c>
      <c r="D82">
        <f>IF(B82="","",IFERROR(XLOOKUP(B82,Team!B:B,Team!D:D),""))</f>
      </c>
      <c r="G82">
        <f>IF(B82="","",E82+F82)</f>
      </c>
    </row>
    <row r="83">
      <c r="C83">
        <f>IF(B83="","",IFERROR(XLOOKUP(B83,Team!B:B,Team!A:A),""))</f>
      </c>
      <c r="D83">
        <f>IF(B83="","",IFERROR(XLOOKUP(B83,Team!B:B,Team!D:D),""))</f>
      </c>
      <c r="G83">
        <f>IF(B83="","",E83+F83)</f>
      </c>
    </row>
    <row r="84">
      <c r="C84">
        <f>IF(B84="","",IFERROR(XLOOKUP(B84,Team!B:B,Team!A:A),""))</f>
      </c>
      <c r="D84">
        <f>IF(B84="","",IFERROR(XLOOKUP(B84,Team!B:B,Team!D:D),""))</f>
      </c>
      <c r="G84">
        <f>IF(B84="","",E84+F84)</f>
      </c>
    </row>
    <row r="85">
      <c r="C85">
        <f>IF(B85="","",IFERROR(XLOOKUP(B85,Team!B:B,Team!A:A),""))</f>
      </c>
      <c r="D85">
        <f>IF(B85="","",IFERROR(XLOOKUP(B85,Team!B:B,Team!D:D),""))</f>
      </c>
      <c r="G85">
        <f>IF(B85="","",E85+F85)</f>
      </c>
    </row>
    <row r="86">
      <c r="C86">
        <f>IF(B86="","",IFERROR(XLOOKUP(B86,Team!B:B,Team!A:A),""))</f>
      </c>
      <c r="D86">
        <f>IF(B86="","",IFERROR(XLOOKUP(B86,Team!B:B,Team!D:D),""))</f>
      </c>
      <c r="G86">
        <f>IF(B86="","",E86+F86)</f>
      </c>
    </row>
    <row r="87">
      <c r="C87">
        <f>IF(B87="","",IFERROR(XLOOKUP(B87,Team!B:B,Team!A:A),""))</f>
      </c>
      <c r="D87">
        <f>IF(B87="","",IFERROR(XLOOKUP(B87,Team!B:B,Team!D:D),""))</f>
      </c>
      <c r="G87">
        <f>IF(B87="","",E87+F87)</f>
      </c>
    </row>
    <row r="88">
      <c r="C88">
        <f>IF(B88="","",IFERROR(XLOOKUP(B88,Team!B:B,Team!A:A),""))</f>
      </c>
      <c r="D88">
        <f>IF(B88="","",IFERROR(XLOOKUP(B88,Team!B:B,Team!D:D),""))</f>
      </c>
      <c r="G88">
        <f>IF(B88="","",E88+F88)</f>
      </c>
    </row>
    <row r="89">
      <c r="C89">
        <f>IF(B89="","",IFERROR(XLOOKUP(B89,Team!B:B,Team!A:A),""))</f>
      </c>
      <c r="D89">
        <f>IF(B89="","",IFERROR(XLOOKUP(B89,Team!B:B,Team!D:D),""))</f>
      </c>
      <c r="G89">
        <f>IF(B89="","",E89+F89)</f>
      </c>
    </row>
    <row r="90">
      <c r="C90">
        <f>IF(B90="","",IFERROR(XLOOKUP(B90,Team!B:B,Team!A:A),""))</f>
      </c>
      <c r="D90">
        <f>IF(B90="","",IFERROR(XLOOKUP(B90,Team!B:B,Team!D:D),""))</f>
      </c>
      <c r="G90">
        <f>IF(B90="","",E90+F90)</f>
      </c>
    </row>
    <row r="91">
      <c r="C91">
        <f>IF(B91="","",IFERROR(XLOOKUP(B91,Team!B:B,Team!A:A),""))</f>
      </c>
      <c r="D91">
        <f>IF(B91="","",IFERROR(XLOOKUP(B91,Team!B:B,Team!D:D),""))</f>
      </c>
      <c r="G91">
        <f>IF(B91="","",E91+F91)</f>
      </c>
    </row>
    <row r="92">
      <c r="C92">
        <f>IF(B92="","",IFERROR(XLOOKUP(B92,Team!B:B,Team!A:A),""))</f>
      </c>
      <c r="D92">
        <f>IF(B92="","",IFERROR(XLOOKUP(B92,Team!B:B,Team!D:D),""))</f>
      </c>
      <c r="G92">
        <f>IF(B92="","",E92+F92)</f>
      </c>
    </row>
    <row r="93">
      <c r="C93">
        <f>IF(B93="","",IFERROR(XLOOKUP(B93,Team!B:B,Team!A:A),""))</f>
      </c>
      <c r="D93">
        <f>IF(B93="","",IFERROR(XLOOKUP(B93,Team!B:B,Team!D:D),""))</f>
      </c>
      <c r="G93">
        <f>IF(B93="","",E93+F93)</f>
      </c>
    </row>
    <row r="94">
      <c r="C94">
        <f>IF(B94="","",IFERROR(XLOOKUP(B94,Team!B:B,Team!A:A),""))</f>
      </c>
      <c r="D94">
        <f>IF(B94="","",IFERROR(XLOOKUP(B94,Team!B:B,Team!D:D),""))</f>
      </c>
      <c r="G94">
        <f>IF(B94="","",E94+F94)</f>
      </c>
    </row>
    <row r="95">
      <c r="C95">
        <f>IF(B95="","",IFERROR(XLOOKUP(B95,Team!B:B,Team!A:A),""))</f>
      </c>
      <c r="D95">
        <f>IF(B95="","",IFERROR(XLOOKUP(B95,Team!B:B,Team!D:D),""))</f>
      </c>
      <c r="G95">
        <f>IF(B95="","",E95+F95)</f>
      </c>
    </row>
    <row r="96">
      <c r="C96">
        <f>IF(B96="","",IFERROR(XLOOKUP(B96,Team!B:B,Team!A:A),""))</f>
      </c>
      <c r="D96">
        <f>IF(B96="","",IFERROR(XLOOKUP(B96,Team!B:B,Team!D:D),""))</f>
      </c>
      <c r="G96">
        <f>IF(B96="","",E96+F96)</f>
      </c>
    </row>
    <row r="97">
      <c r="C97">
        <f>IF(B97="","",IFERROR(XLOOKUP(B97,Team!B:B,Team!A:A),""))</f>
      </c>
      <c r="D97">
        <f>IF(B97="","",IFERROR(XLOOKUP(B97,Team!B:B,Team!D:D),""))</f>
      </c>
      <c r="G97">
        <f>IF(B97="","",E97+F97)</f>
      </c>
    </row>
    <row r="98">
      <c r="C98">
        <f>IF(B98="","",IFERROR(XLOOKUP(B98,Team!B:B,Team!A:A),""))</f>
      </c>
      <c r="D98">
        <f>IF(B98="","",IFERROR(XLOOKUP(B98,Team!B:B,Team!D:D),""))</f>
      </c>
      <c r="G98">
        <f>IF(B98="","",E98+F98)</f>
      </c>
    </row>
    <row r="99">
      <c r="C99">
        <f>IF(B99="","",IFERROR(XLOOKUP(B99,Team!B:B,Team!A:A),""))</f>
      </c>
      <c r="D99">
        <f>IF(B99="","",IFERROR(XLOOKUP(B99,Team!B:B,Team!D:D),""))</f>
      </c>
      <c r="G99">
        <f>IF(B99="","",E99+F99)</f>
      </c>
    </row>
    <row r="100">
      <c r="C100">
        <f>IF(B100="","",IFERROR(XLOOKUP(B100,Team!B:B,Team!A:A),""))</f>
      </c>
      <c r="D100">
        <f>IF(B100="","",IFERROR(XLOOKUP(B100,Team!B:B,Team!D:D),""))</f>
      </c>
      <c r="G100">
        <f>IF(B100="","",E100+F100)</f>
      </c>
    </row>
    <row r="101">
      <c r="C101">
        <f>IF(B101="","",IFERROR(XLOOKUP(B101,Team!B:B,Team!A:A),""))</f>
      </c>
      <c r="D101">
        <f>IF(B101="","",IFERROR(XLOOKUP(B101,Team!B:B,Team!D:D),""))</f>
      </c>
      <c r="G101">
        <f>IF(B101="","",E101+F101)</f>
      </c>
    </row>
    <row r="102">
      <c r="C102">
        <f>IF(B102="","",IFERROR(XLOOKUP(B102,Team!B:B,Team!A:A),""))</f>
      </c>
      <c r="D102">
        <f>IF(B102="","",IFERROR(XLOOKUP(B102,Team!B:B,Team!D:D),""))</f>
      </c>
      <c r="G102">
        <f>IF(B102="","",E102+F102)</f>
      </c>
    </row>
    <row r="103">
      <c r="C103">
        <f>IF(B103="","",IFERROR(XLOOKUP(B103,Team!B:B,Team!A:A),""))</f>
      </c>
      <c r="D103">
        <f>IF(B103="","",IFERROR(XLOOKUP(B103,Team!B:B,Team!D:D),""))</f>
      </c>
      <c r="G103">
        <f>IF(B103="","",E103+F103)</f>
      </c>
    </row>
    <row r="104">
      <c r="C104">
        <f>IF(B104="","",IFERROR(XLOOKUP(B104,Team!B:B,Team!A:A),""))</f>
      </c>
      <c r="D104">
        <f>IF(B104="","",IFERROR(XLOOKUP(B104,Team!B:B,Team!D:D),""))</f>
      </c>
      <c r="G104">
        <f>IF(B104="","",E104+F104)</f>
      </c>
    </row>
    <row r="105">
      <c r="C105">
        <f>IF(B105="","",IFERROR(XLOOKUP(B105,Team!B:B,Team!A:A),""))</f>
      </c>
      <c r="D105">
        <f>IF(B105="","",IFERROR(XLOOKUP(B105,Team!B:B,Team!D:D),""))</f>
      </c>
      <c r="G105">
        <f>IF(B105="","",E105+F105)</f>
      </c>
    </row>
    <row r="106">
      <c r="C106">
        <f>IF(B106="","",IFERROR(XLOOKUP(B106,Team!B:B,Team!A:A),""))</f>
      </c>
      <c r="D106">
        <f>IF(B106="","",IFERROR(XLOOKUP(B106,Team!B:B,Team!D:D),""))</f>
      </c>
      <c r="G106">
        <f>IF(B106="","",E106+F106)</f>
      </c>
    </row>
    <row r="107">
      <c r="C107">
        <f>IF(B107="","",IFERROR(XLOOKUP(B107,Team!B:B,Team!A:A),""))</f>
      </c>
      <c r="D107">
        <f>IF(B107="","",IFERROR(XLOOKUP(B107,Team!B:B,Team!D:D),""))</f>
      </c>
      <c r="G107">
        <f>IF(B107="","",E107+F107)</f>
      </c>
    </row>
    <row r="108">
      <c r="C108">
        <f>IF(B108="","",IFERROR(XLOOKUP(B108,Team!B:B,Team!A:A),""))</f>
      </c>
      <c r="D108">
        <f>IF(B108="","",IFERROR(XLOOKUP(B108,Team!B:B,Team!D:D),""))</f>
      </c>
      <c r="G108">
        <f>IF(B108="","",E108+F108)</f>
      </c>
    </row>
    <row r="109">
      <c r="C109">
        <f>IF(B109="","",IFERROR(XLOOKUP(B109,Team!B:B,Team!A:A),""))</f>
      </c>
      <c r="D109">
        <f>IF(B109="","",IFERROR(XLOOKUP(B109,Team!B:B,Team!D:D),""))</f>
      </c>
      <c r="G109">
        <f>IF(B109="","",E109+F109)</f>
      </c>
    </row>
    <row r="110">
      <c r="C110">
        <f>IF(B110="","",IFERROR(XLOOKUP(B110,Team!B:B,Team!A:A),""))</f>
      </c>
      <c r="D110">
        <f>IF(B110="","",IFERROR(XLOOKUP(B110,Team!B:B,Team!D:D),""))</f>
      </c>
      <c r="G110">
        <f>IF(B110="","",E110+F110)</f>
      </c>
    </row>
    <row r="111">
      <c r="C111">
        <f>IF(B111="","",IFERROR(XLOOKUP(B111,Team!B:B,Team!A:A),""))</f>
      </c>
      <c r="D111">
        <f>IF(B111="","",IFERROR(XLOOKUP(B111,Team!B:B,Team!D:D),""))</f>
      </c>
      <c r="G111">
        <f>IF(B111="","",E111+F111)</f>
      </c>
    </row>
    <row r="112">
      <c r="C112">
        <f>IF(B112="","",IFERROR(XLOOKUP(B112,Team!B:B,Team!A:A),""))</f>
      </c>
      <c r="D112">
        <f>IF(B112="","",IFERROR(XLOOKUP(B112,Team!B:B,Team!D:D),""))</f>
      </c>
      <c r="G112">
        <f>IF(B112="","",E112+F112)</f>
      </c>
    </row>
    <row r="113">
      <c r="C113">
        <f>IF(B113="","",IFERROR(XLOOKUP(B113,Team!B:B,Team!A:A),""))</f>
      </c>
      <c r="D113">
        <f>IF(B113="","",IFERROR(XLOOKUP(B113,Team!B:B,Team!D:D),""))</f>
      </c>
      <c r="G113">
        <f>IF(B113="","",E113+F113)</f>
      </c>
    </row>
    <row r="114">
      <c r="C114">
        <f>IF(B114="","",IFERROR(XLOOKUP(B114,Team!B:B,Team!A:A),""))</f>
      </c>
      <c r="D114">
        <f>IF(B114="","",IFERROR(XLOOKUP(B114,Team!B:B,Team!D:D),""))</f>
      </c>
      <c r="G114">
        <f>IF(B114="","",E114+F114)</f>
      </c>
    </row>
    <row r="115">
      <c r="C115">
        <f>IF(B115="","",IFERROR(XLOOKUP(B115,Team!B:B,Team!A:A),""))</f>
      </c>
      <c r="D115">
        <f>IF(B115="","",IFERROR(XLOOKUP(B115,Team!B:B,Team!D:D),""))</f>
      </c>
      <c r="G115">
        <f>IF(B115="","",E115+F115)</f>
      </c>
    </row>
    <row r="116">
      <c r="C116">
        <f>IF(B116="","",IFERROR(XLOOKUP(B116,Team!B:B,Team!A:A),""))</f>
      </c>
      <c r="D116">
        <f>IF(B116="","",IFERROR(XLOOKUP(B116,Team!B:B,Team!D:D),""))</f>
      </c>
      <c r="G116">
        <f>IF(B116="","",E116+F116)</f>
      </c>
    </row>
    <row r="117">
      <c r="C117">
        <f>IF(B117="","",IFERROR(XLOOKUP(B117,Team!B:B,Team!A:A),""))</f>
      </c>
      <c r="D117">
        <f>IF(B117="","",IFERROR(XLOOKUP(B117,Team!B:B,Team!D:D),""))</f>
      </c>
      <c r="G117">
        <f>IF(B117="","",E117+F117)</f>
      </c>
    </row>
    <row r="118">
      <c r="C118">
        <f>IF(B118="","",IFERROR(XLOOKUP(B118,Team!B:B,Team!A:A),""))</f>
      </c>
      <c r="D118">
        <f>IF(B118="","",IFERROR(XLOOKUP(B118,Team!B:B,Team!D:D),""))</f>
      </c>
      <c r="G118">
        <f>IF(B118="","",E118+F118)</f>
      </c>
    </row>
    <row r="119">
      <c r="C119">
        <f>IF(B119="","",IFERROR(XLOOKUP(B119,Team!B:B,Team!A:A),""))</f>
      </c>
      <c r="D119">
        <f>IF(B119="","",IFERROR(XLOOKUP(B119,Team!B:B,Team!D:D),""))</f>
      </c>
      <c r="G119">
        <f>IF(B119="","",E119+F119)</f>
      </c>
    </row>
    <row r="120">
      <c r="C120">
        <f>IF(B120="","",IFERROR(XLOOKUP(B120,Team!B:B,Team!A:A),""))</f>
      </c>
      <c r="D120">
        <f>IF(B120="","",IFERROR(XLOOKUP(B120,Team!B:B,Team!D:D),""))</f>
      </c>
      <c r="G120">
        <f>IF(B120="","",E120+F120)</f>
      </c>
    </row>
    <row r="121">
      <c r="C121">
        <f>IF(B121="","",IFERROR(XLOOKUP(B121,Team!B:B,Team!A:A),""))</f>
      </c>
      <c r="D121">
        <f>IF(B121="","",IFERROR(XLOOKUP(B121,Team!B:B,Team!D:D),""))</f>
      </c>
      <c r="G121">
        <f>IF(B121="","",E121+F121)</f>
      </c>
    </row>
    <row r="122">
      <c r="C122">
        <f>IF(B122="","",IFERROR(XLOOKUP(B122,Team!B:B,Team!A:A),""))</f>
      </c>
      <c r="D122">
        <f>IF(B122="","",IFERROR(XLOOKUP(B122,Team!B:B,Team!D:D),""))</f>
      </c>
      <c r="G122">
        <f>IF(B122="","",E122+F122)</f>
      </c>
    </row>
    <row r="123">
      <c r="C123">
        <f>IF(B123="","",IFERROR(XLOOKUP(B123,Team!B:B,Team!A:A),""))</f>
      </c>
      <c r="D123">
        <f>IF(B123="","",IFERROR(XLOOKUP(B123,Team!B:B,Team!D:D),""))</f>
      </c>
      <c r="G123">
        <f>IF(B123="","",E123+F123)</f>
      </c>
    </row>
    <row r="124">
      <c r="C124">
        <f>IF(B124="","",IFERROR(XLOOKUP(B124,Team!B:B,Team!A:A),""))</f>
      </c>
      <c r="D124">
        <f>IF(B124="","",IFERROR(XLOOKUP(B124,Team!B:B,Team!D:D),""))</f>
      </c>
      <c r="G124">
        <f>IF(B124="","",E124+F124)</f>
      </c>
    </row>
    <row r="125">
      <c r="C125">
        <f>IF(B125="","",IFERROR(XLOOKUP(B125,Team!B:B,Team!A:A),""))</f>
      </c>
      <c r="D125">
        <f>IF(B125="","",IFERROR(XLOOKUP(B125,Team!B:B,Team!D:D),""))</f>
      </c>
      <c r="G125">
        <f>IF(B125="","",E125+F125)</f>
      </c>
    </row>
    <row r="126">
      <c r="C126">
        <f>IF(B126="","",IFERROR(XLOOKUP(B126,Team!B:B,Team!A:A),""))</f>
      </c>
      <c r="D126">
        <f>IF(B126="","",IFERROR(XLOOKUP(B126,Team!B:B,Team!D:D),""))</f>
      </c>
      <c r="G126">
        <f>IF(B126="","",E126+F126)</f>
      </c>
    </row>
    <row r="127">
      <c r="C127">
        <f>IF(B127="","",IFERROR(XLOOKUP(B127,Team!B:B,Team!A:A),""))</f>
      </c>
      <c r="D127">
        <f>IF(B127="","",IFERROR(XLOOKUP(B127,Team!B:B,Team!D:D),""))</f>
      </c>
      <c r="G127">
        <f>IF(B127="","",E127+F127)</f>
      </c>
    </row>
    <row r="128">
      <c r="C128">
        <f>IF(B128="","",IFERROR(XLOOKUP(B128,Team!B:B,Team!A:A),""))</f>
      </c>
      <c r="D128">
        <f>IF(B128="","",IFERROR(XLOOKUP(B128,Team!B:B,Team!D:D),""))</f>
      </c>
      <c r="G128">
        <f>IF(B128="","",E128+F128)</f>
      </c>
    </row>
    <row r="129">
      <c r="C129">
        <f>IF(B129="","",IFERROR(XLOOKUP(B129,Team!B:B,Team!A:A),""))</f>
      </c>
      <c r="D129">
        <f>IF(B129="","",IFERROR(XLOOKUP(B129,Team!B:B,Team!D:D),""))</f>
      </c>
      <c r="G129">
        <f>IF(B129="","",E129+F129)</f>
      </c>
    </row>
    <row r="130">
      <c r="C130">
        <f>IF(B130="","",IFERROR(XLOOKUP(B130,Team!B:B,Team!A:A),""))</f>
      </c>
      <c r="D130">
        <f>IF(B130="","",IFERROR(XLOOKUP(B130,Team!B:B,Team!D:D),""))</f>
      </c>
      <c r="G130">
        <f>IF(B130="","",E130+F130)</f>
      </c>
    </row>
    <row r="131">
      <c r="C131">
        <f>IF(B131="","",IFERROR(XLOOKUP(B131,Team!B:B,Team!A:A),""))</f>
      </c>
      <c r="D131">
        <f>IF(B131="","",IFERROR(XLOOKUP(B131,Team!B:B,Team!D:D),""))</f>
      </c>
      <c r="G131">
        <f>IF(B131="","",E131+F131)</f>
      </c>
    </row>
    <row r="132">
      <c r="C132">
        <f>IF(B132="","",IFERROR(XLOOKUP(B132,Team!B:B,Team!A:A),""))</f>
      </c>
      <c r="D132">
        <f>IF(B132="","",IFERROR(XLOOKUP(B132,Team!B:B,Team!D:D),""))</f>
      </c>
      <c r="G132">
        <f>IF(B132="","",E132+F132)</f>
      </c>
    </row>
    <row r="133">
      <c r="C133">
        <f>IF(B133="","",IFERROR(XLOOKUP(B133,Team!B:B,Team!A:A),""))</f>
      </c>
      <c r="D133">
        <f>IF(B133="","",IFERROR(XLOOKUP(B133,Team!B:B,Team!D:D),""))</f>
      </c>
      <c r="G133">
        <f>IF(B133="","",E133+F133)</f>
      </c>
    </row>
    <row r="134">
      <c r="C134">
        <f>IF(B134="","",IFERROR(XLOOKUP(B134,Team!B:B,Team!A:A),""))</f>
      </c>
      <c r="D134">
        <f>IF(B134="","",IFERROR(XLOOKUP(B134,Team!B:B,Team!D:D),""))</f>
      </c>
      <c r="G134">
        <f>IF(B134="","",E134+F134)</f>
      </c>
    </row>
    <row r="135">
      <c r="C135">
        <f>IF(B135="","",IFERROR(XLOOKUP(B135,Team!B:B,Team!A:A),""))</f>
      </c>
      <c r="D135">
        <f>IF(B135="","",IFERROR(XLOOKUP(B135,Team!B:B,Team!D:D),""))</f>
      </c>
      <c r="G135">
        <f>IF(B135="","",E135+F135)</f>
      </c>
    </row>
    <row r="136">
      <c r="C136">
        <f>IF(B136="","",IFERROR(XLOOKUP(B136,Team!B:B,Team!A:A),""))</f>
      </c>
      <c r="D136">
        <f>IF(B136="","",IFERROR(XLOOKUP(B136,Team!B:B,Team!D:D),""))</f>
      </c>
      <c r="G136">
        <f>IF(B136="","",E136+F136)</f>
      </c>
    </row>
    <row r="137">
      <c r="C137">
        <f>IF(B137="","",IFERROR(XLOOKUP(B137,Team!B:B,Team!A:A),""))</f>
      </c>
      <c r="D137">
        <f>IF(B137="","",IFERROR(XLOOKUP(B137,Team!B:B,Team!D:D),""))</f>
      </c>
      <c r="G137">
        <f>IF(B137="","",E137+F137)</f>
      </c>
    </row>
    <row r="138">
      <c r="C138">
        <f>IF(B138="","",IFERROR(XLOOKUP(B138,Team!B:B,Team!A:A),""))</f>
      </c>
      <c r="D138">
        <f>IF(B138="","",IFERROR(XLOOKUP(B138,Team!B:B,Team!D:D),""))</f>
      </c>
      <c r="G138">
        <f>IF(B138="","",E138+F138)</f>
      </c>
    </row>
    <row r="139">
      <c r="C139">
        <f>IF(B139="","",IFERROR(XLOOKUP(B139,Team!B:B,Team!A:A),""))</f>
      </c>
      <c r="D139">
        <f>IF(B139="","",IFERROR(XLOOKUP(B139,Team!B:B,Team!D:D),""))</f>
      </c>
      <c r="G139">
        <f>IF(B139="","",E139+F139)</f>
      </c>
    </row>
    <row r="140">
      <c r="C140">
        <f>IF(B140="","",IFERROR(XLOOKUP(B140,Team!B:B,Team!A:A),""))</f>
      </c>
      <c r="D140">
        <f>IF(B140="","",IFERROR(XLOOKUP(B140,Team!B:B,Team!D:D),""))</f>
      </c>
      <c r="G140">
        <f>IF(B140="","",E140+F140)</f>
      </c>
    </row>
    <row r="141">
      <c r="C141">
        <f>IF(B141="","",IFERROR(XLOOKUP(B141,Team!B:B,Team!A:A),""))</f>
      </c>
      <c r="D141">
        <f>IF(B141="","",IFERROR(XLOOKUP(B141,Team!B:B,Team!D:D),""))</f>
      </c>
      <c r="G141">
        <f>IF(B141="","",E141+F141)</f>
      </c>
    </row>
    <row r="142">
      <c r="C142">
        <f>IF(B142="","",IFERROR(XLOOKUP(B142,Team!B:B,Team!A:A),""))</f>
      </c>
      <c r="D142">
        <f>IF(B142="","",IFERROR(XLOOKUP(B142,Team!B:B,Team!D:D),""))</f>
      </c>
      <c r="G142">
        <f>IF(B142="","",E142+F142)</f>
      </c>
    </row>
    <row r="143">
      <c r="C143">
        <f>IF(B143="","",IFERROR(XLOOKUP(B143,Team!B:B,Team!A:A),""))</f>
      </c>
      <c r="D143">
        <f>IF(B143="","",IFERROR(XLOOKUP(B143,Team!B:B,Team!D:D),""))</f>
      </c>
      <c r="G143">
        <f>IF(B143="","",E143+F143)</f>
      </c>
    </row>
    <row r="144">
      <c r="C144">
        <f>IF(B144="","",IFERROR(XLOOKUP(B144,Team!B:B,Team!A:A),""))</f>
      </c>
      <c r="D144">
        <f>IF(B144="","",IFERROR(XLOOKUP(B144,Team!B:B,Team!D:D),""))</f>
      </c>
      <c r="G144">
        <f>IF(B144="","",E144+F144)</f>
      </c>
    </row>
    <row r="145">
      <c r="C145">
        <f>IF(B145="","",IFERROR(XLOOKUP(B145,Team!B:B,Team!A:A),""))</f>
      </c>
      <c r="D145">
        <f>IF(B145="","",IFERROR(XLOOKUP(B145,Team!B:B,Team!D:D),""))</f>
      </c>
      <c r="G145">
        <f>IF(B145="","",E145+F145)</f>
      </c>
    </row>
    <row r="146">
      <c r="C146">
        <f>IF(B146="","",IFERROR(XLOOKUP(B146,Team!B:B,Team!A:A),""))</f>
      </c>
      <c r="D146">
        <f>IF(B146="","",IFERROR(XLOOKUP(B146,Team!B:B,Team!D:D),""))</f>
      </c>
      <c r="G146">
        <f>IF(B146="","",E146+F146)</f>
      </c>
    </row>
    <row r="147">
      <c r="C147">
        <f>IF(B147="","",IFERROR(XLOOKUP(B147,Team!B:B,Team!A:A),""))</f>
      </c>
      <c r="D147">
        <f>IF(B147="","",IFERROR(XLOOKUP(B147,Team!B:B,Team!D:D),""))</f>
      </c>
      <c r="G147">
        <f>IF(B147="","",E147+F147)</f>
      </c>
    </row>
    <row r="148">
      <c r="C148">
        <f>IF(B148="","",IFERROR(XLOOKUP(B148,Team!B:B,Team!A:A),""))</f>
      </c>
      <c r="D148">
        <f>IF(B148="","",IFERROR(XLOOKUP(B148,Team!B:B,Team!D:D),""))</f>
      </c>
      <c r="G148">
        <f>IF(B148="","",E148+F148)</f>
      </c>
    </row>
    <row r="149">
      <c r="C149">
        <f>IF(B149="","",IFERROR(XLOOKUP(B149,Team!B:B,Team!A:A),""))</f>
      </c>
      <c r="D149">
        <f>IF(B149="","",IFERROR(XLOOKUP(B149,Team!B:B,Team!D:D),""))</f>
      </c>
      <c r="G149">
        <f>IF(B149="","",E149+F149)</f>
      </c>
    </row>
    <row r="150">
      <c r="C150">
        <f>IF(B150="","",IFERROR(XLOOKUP(B150,Team!B:B,Team!A:A),""))</f>
      </c>
      <c r="D150">
        <f>IF(B150="","",IFERROR(XLOOKUP(B150,Team!B:B,Team!D:D),""))</f>
      </c>
      <c r="G150">
        <f>IF(B150="","",E150+F150)</f>
      </c>
    </row>
    <row r="151">
      <c r="C151">
        <f>IF(B151="","",IFERROR(XLOOKUP(B151,Team!B:B,Team!A:A),""))</f>
      </c>
      <c r="D151">
        <f>IF(B151="","",IFERROR(XLOOKUP(B151,Team!B:B,Team!D:D),""))</f>
      </c>
      <c r="G151">
        <f>IF(B151="","",E151+F151)</f>
      </c>
    </row>
    <row r="152">
      <c r="C152">
        <f>IF(B152="","",IFERROR(XLOOKUP(B152,Team!B:B,Team!A:A),""))</f>
      </c>
      <c r="D152">
        <f>IF(B152="","",IFERROR(XLOOKUP(B152,Team!B:B,Team!D:D),""))</f>
      </c>
      <c r="G152">
        <f>IF(B152="","",E152+F152)</f>
      </c>
    </row>
    <row r="153">
      <c r="C153">
        <f>IF(B153="","",IFERROR(XLOOKUP(B153,Team!B:B,Team!A:A),""))</f>
      </c>
      <c r="D153">
        <f>IF(B153="","",IFERROR(XLOOKUP(B153,Team!B:B,Team!D:D),""))</f>
      </c>
      <c r="G153">
        <f>IF(B153="","",E153+F153)</f>
      </c>
    </row>
    <row r="154">
      <c r="C154">
        <f>IF(B154="","",IFERROR(XLOOKUP(B154,Team!B:B,Team!A:A),""))</f>
      </c>
      <c r="D154">
        <f>IF(B154="","",IFERROR(XLOOKUP(B154,Team!B:B,Team!D:D),""))</f>
      </c>
      <c r="G154">
        <f>IF(B154="","",E154+F154)</f>
      </c>
    </row>
    <row r="155">
      <c r="C155">
        <f>IF(B155="","",IFERROR(XLOOKUP(B155,Team!B:B,Team!A:A),""))</f>
      </c>
      <c r="D155">
        <f>IF(B155="","",IFERROR(XLOOKUP(B155,Team!B:B,Team!D:D),""))</f>
      </c>
      <c r="G155">
        <f>IF(B155="","",E155+F155)</f>
      </c>
    </row>
    <row r="156">
      <c r="C156">
        <f>IF(B156="","",IFERROR(XLOOKUP(B156,Team!B:B,Team!A:A),""))</f>
      </c>
      <c r="D156">
        <f>IF(B156="","",IFERROR(XLOOKUP(B156,Team!B:B,Team!D:D),""))</f>
      </c>
      <c r="G156">
        <f>IF(B156="","",E156+F156)</f>
      </c>
    </row>
    <row r="157">
      <c r="C157">
        <f>IF(B157="","",IFERROR(XLOOKUP(B157,Team!B:B,Team!A:A),""))</f>
      </c>
      <c r="D157">
        <f>IF(B157="","",IFERROR(XLOOKUP(B157,Team!B:B,Team!D:D),""))</f>
      </c>
      <c r="G157">
        <f>IF(B157="","",E157+F157)</f>
      </c>
    </row>
    <row r="158">
      <c r="C158">
        <f>IF(B158="","",IFERROR(XLOOKUP(B158,Team!B:B,Team!A:A),""))</f>
      </c>
      <c r="D158">
        <f>IF(B158="","",IFERROR(XLOOKUP(B158,Team!B:B,Team!D:D),""))</f>
      </c>
      <c r="G158">
        <f>IF(B158="","",E158+F158)</f>
      </c>
    </row>
    <row r="159">
      <c r="C159">
        <f>IF(B159="","",IFERROR(XLOOKUP(B159,Team!B:B,Team!A:A),""))</f>
      </c>
      <c r="D159">
        <f>IF(B159="","",IFERROR(XLOOKUP(B159,Team!B:B,Team!D:D),""))</f>
      </c>
      <c r="G159">
        <f>IF(B159="","",E159+F159)</f>
      </c>
    </row>
    <row r="160">
      <c r="C160">
        <f>IF(B160="","",IFERROR(XLOOKUP(B160,Team!B:B,Team!A:A),""))</f>
      </c>
      <c r="D160">
        <f>IF(B160="","",IFERROR(XLOOKUP(B160,Team!B:B,Team!D:D),""))</f>
      </c>
      <c r="G160">
        <f>IF(B160="","",E160+F160)</f>
      </c>
    </row>
    <row r="161">
      <c r="C161">
        <f>IF(B161="","",IFERROR(XLOOKUP(B161,Team!B:B,Team!A:A),""))</f>
      </c>
      <c r="D161">
        <f>IF(B161="","",IFERROR(XLOOKUP(B161,Team!B:B,Team!D:D),""))</f>
      </c>
      <c r="G161">
        <f>IF(B161="","",E161+F161)</f>
      </c>
    </row>
    <row r="162">
      <c r="C162">
        <f>IF(B162="","",IFERROR(XLOOKUP(B162,Team!B:B,Team!A:A),""))</f>
      </c>
      <c r="D162">
        <f>IF(B162="","",IFERROR(XLOOKUP(B162,Team!B:B,Team!D:D),""))</f>
      </c>
      <c r="G162">
        <f>IF(B162="","",E162+F162)</f>
      </c>
    </row>
    <row r="163">
      <c r="C163">
        <f>IF(B163="","",IFERROR(XLOOKUP(B163,Team!B:B,Team!A:A),""))</f>
      </c>
      <c r="D163">
        <f>IF(B163="","",IFERROR(XLOOKUP(B163,Team!B:B,Team!D:D),""))</f>
      </c>
      <c r="G163">
        <f>IF(B163="","",E163+F163)</f>
      </c>
    </row>
    <row r="164">
      <c r="C164">
        <f>IF(B164="","",IFERROR(XLOOKUP(B164,Team!B:B,Team!A:A),""))</f>
      </c>
      <c r="D164">
        <f>IF(B164="","",IFERROR(XLOOKUP(B164,Team!B:B,Team!D:D),""))</f>
      </c>
      <c r="G164">
        <f>IF(B164="","",E164+F164)</f>
      </c>
    </row>
    <row r="165">
      <c r="C165">
        <f>IF(B165="","",IFERROR(XLOOKUP(B165,Team!B:B,Team!A:A),""))</f>
      </c>
      <c r="D165">
        <f>IF(B165="","",IFERROR(XLOOKUP(B165,Team!B:B,Team!D:D),""))</f>
      </c>
      <c r="G165">
        <f>IF(B165="","",E165+F165)</f>
      </c>
    </row>
    <row r="166">
      <c r="C166">
        <f>IF(B166="","",IFERROR(XLOOKUP(B166,Team!B:B,Team!A:A),""))</f>
      </c>
      <c r="D166">
        <f>IF(B166="","",IFERROR(XLOOKUP(B166,Team!B:B,Team!D:D),""))</f>
      </c>
      <c r="G166">
        <f>IF(B166="","",E166+F166)</f>
      </c>
    </row>
    <row r="167">
      <c r="C167">
        <f>IF(B167="","",IFERROR(XLOOKUP(B167,Team!B:B,Team!A:A),""))</f>
      </c>
      <c r="D167">
        <f>IF(B167="","",IFERROR(XLOOKUP(B167,Team!B:B,Team!D:D),""))</f>
      </c>
      <c r="G167">
        <f>IF(B167="","",E167+F167)</f>
      </c>
    </row>
    <row r="168">
      <c r="C168">
        <f>IF(B168="","",IFERROR(XLOOKUP(B168,Team!B:B,Team!A:A),""))</f>
      </c>
      <c r="D168">
        <f>IF(B168="","",IFERROR(XLOOKUP(B168,Team!B:B,Team!D:D),""))</f>
      </c>
      <c r="G168">
        <f>IF(B168="","",E168+F168)</f>
      </c>
    </row>
    <row r="169">
      <c r="C169">
        <f>IF(B169="","",IFERROR(XLOOKUP(B169,Team!B:B,Team!A:A),""))</f>
      </c>
      <c r="D169">
        <f>IF(B169="","",IFERROR(XLOOKUP(B169,Team!B:B,Team!D:D),""))</f>
      </c>
      <c r="G169">
        <f>IF(B169="","",E169+F169)</f>
      </c>
    </row>
    <row r="170">
      <c r="C170">
        <f>IF(B170="","",IFERROR(XLOOKUP(B170,Team!B:B,Team!A:A),""))</f>
      </c>
      <c r="D170">
        <f>IF(B170="","",IFERROR(XLOOKUP(B170,Team!B:B,Team!D:D),""))</f>
      </c>
      <c r="G170">
        <f>IF(B170="","",E170+F170)</f>
      </c>
    </row>
    <row r="171">
      <c r="C171">
        <f>IF(B171="","",IFERROR(XLOOKUP(B171,Team!B:B,Team!A:A),""))</f>
      </c>
      <c r="D171">
        <f>IF(B171="","",IFERROR(XLOOKUP(B171,Team!B:B,Team!D:D),""))</f>
      </c>
      <c r="G171">
        <f>IF(B171="","",E171+F171)</f>
      </c>
    </row>
    <row r="172">
      <c r="C172">
        <f>IF(B172="","",IFERROR(XLOOKUP(B172,Team!B:B,Team!A:A),""))</f>
      </c>
      <c r="D172">
        <f>IF(B172="","",IFERROR(XLOOKUP(B172,Team!B:B,Team!D:D),""))</f>
      </c>
      <c r="G172">
        <f>IF(B172="","",E172+F172)</f>
      </c>
    </row>
    <row r="173">
      <c r="C173">
        <f>IF(B173="","",IFERROR(XLOOKUP(B173,Team!B:B,Team!A:A),""))</f>
      </c>
      <c r="D173">
        <f>IF(B173="","",IFERROR(XLOOKUP(B173,Team!B:B,Team!D:D),""))</f>
      </c>
      <c r="G173">
        <f>IF(B173="","",E173+F173)</f>
      </c>
    </row>
    <row r="174">
      <c r="C174">
        <f>IF(B174="","",IFERROR(XLOOKUP(B174,Team!B:B,Team!A:A),""))</f>
      </c>
      <c r="D174">
        <f>IF(B174="","",IFERROR(XLOOKUP(B174,Team!B:B,Team!D:D),""))</f>
      </c>
      <c r="G174">
        <f>IF(B174="","",E174+F174)</f>
      </c>
    </row>
    <row r="175">
      <c r="C175">
        <f>IF(B175="","",IFERROR(XLOOKUP(B175,Team!B:B,Team!A:A),""))</f>
      </c>
      <c r="D175">
        <f>IF(B175="","",IFERROR(XLOOKUP(B175,Team!B:B,Team!D:D),""))</f>
      </c>
      <c r="G175">
        <f>IF(B175="","",E175+F175)</f>
      </c>
    </row>
    <row r="176">
      <c r="C176">
        <f>IF(B176="","",IFERROR(XLOOKUP(B176,Team!B:B,Team!A:A),""))</f>
      </c>
      <c r="D176">
        <f>IF(B176="","",IFERROR(XLOOKUP(B176,Team!B:B,Team!D:D),""))</f>
      </c>
      <c r="G176">
        <f>IF(B176="","",E176+F176)</f>
      </c>
    </row>
    <row r="177">
      <c r="C177">
        <f>IF(B177="","",IFERROR(XLOOKUP(B177,Team!B:B,Team!A:A),""))</f>
      </c>
      <c r="D177">
        <f>IF(B177="","",IFERROR(XLOOKUP(B177,Team!B:B,Team!D:D),""))</f>
      </c>
      <c r="G177">
        <f>IF(B177="","",E177+F177)</f>
      </c>
    </row>
    <row r="178">
      <c r="C178">
        <f>IF(B178="","",IFERROR(XLOOKUP(B178,Team!B:B,Team!A:A),""))</f>
      </c>
      <c r="D178">
        <f>IF(B178="","",IFERROR(XLOOKUP(B178,Team!B:B,Team!D:D),""))</f>
      </c>
      <c r="G178">
        <f>IF(B178="","",E178+F178)</f>
      </c>
    </row>
    <row r="179">
      <c r="C179">
        <f>IF(B179="","",IFERROR(XLOOKUP(B179,Team!B:B,Team!A:A),""))</f>
      </c>
      <c r="D179">
        <f>IF(B179="","",IFERROR(XLOOKUP(B179,Team!B:B,Team!D:D),""))</f>
      </c>
      <c r="G179">
        <f>IF(B179="","",E179+F179)</f>
      </c>
    </row>
    <row r="180">
      <c r="C180">
        <f>IF(B180="","",IFERROR(XLOOKUP(B180,Team!B:B,Team!A:A),""))</f>
      </c>
      <c r="D180">
        <f>IF(B180="","",IFERROR(XLOOKUP(B180,Team!B:B,Team!D:D),""))</f>
      </c>
      <c r="G180">
        <f>IF(B180="","",E180+F180)</f>
      </c>
    </row>
    <row r="181">
      <c r="C181">
        <f>IF(B181="","",IFERROR(XLOOKUP(B181,Team!B:B,Team!A:A),""))</f>
      </c>
      <c r="D181">
        <f>IF(B181="","",IFERROR(XLOOKUP(B181,Team!B:B,Team!D:D),""))</f>
      </c>
      <c r="G181">
        <f>IF(B181="","",E181+F181)</f>
      </c>
    </row>
    <row r="182">
      <c r="C182">
        <f>IF(B182="","",IFERROR(XLOOKUP(B182,Team!B:B,Team!A:A),""))</f>
      </c>
      <c r="D182">
        <f>IF(B182="","",IFERROR(XLOOKUP(B182,Team!B:B,Team!D:D),""))</f>
      </c>
      <c r="G182">
        <f>IF(B182="","",E182+F182)</f>
      </c>
    </row>
    <row r="183">
      <c r="C183">
        <f>IF(B183="","",IFERROR(XLOOKUP(B183,Team!B:B,Team!A:A),""))</f>
      </c>
      <c r="D183">
        <f>IF(B183="","",IFERROR(XLOOKUP(B183,Team!B:B,Team!D:D),""))</f>
      </c>
      <c r="G183">
        <f>IF(B183="","",E183+F183)</f>
      </c>
    </row>
    <row r="184">
      <c r="C184">
        <f>IF(B184="","",IFERROR(XLOOKUP(B184,Team!B:B,Team!A:A),""))</f>
      </c>
      <c r="D184">
        <f>IF(B184="","",IFERROR(XLOOKUP(B184,Team!B:B,Team!D:D),""))</f>
      </c>
      <c r="G184">
        <f>IF(B184="","",E184+F184)</f>
      </c>
    </row>
    <row r="185">
      <c r="C185">
        <f>IF(B185="","",IFERROR(XLOOKUP(B185,Team!B:B,Team!A:A),""))</f>
      </c>
      <c r="D185">
        <f>IF(B185="","",IFERROR(XLOOKUP(B185,Team!B:B,Team!D:D),""))</f>
      </c>
      <c r="G185">
        <f>IF(B185="","",E185+F185)</f>
      </c>
    </row>
    <row r="186">
      <c r="C186">
        <f>IF(B186="","",IFERROR(XLOOKUP(B186,Team!B:B,Team!A:A),""))</f>
      </c>
      <c r="D186">
        <f>IF(B186="","",IFERROR(XLOOKUP(B186,Team!B:B,Team!D:D),""))</f>
      </c>
      <c r="G186">
        <f>IF(B186="","",E186+F186)</f>
      </c>
    </row>
    <row r="187">
      <c r="C187">
        <f>IF(B187="","",IFERROR(XLOOKUP(B187,Team!B:B,Team!A:A),""))</f>
      </c>
      <c r="D187">
        <f>IF(B187="","",IFERROR(XLOOKUP(B187,Team!B:B,Team!D:D),""))</f>
      </c>
      <c r="G187">
        <f>IF(B187="","",E187+F187)</f>
      </c>
    </row>
    <row r="188">
      <c r="C188">
        <f>IF(B188="","",IFERROR(XLOOKUP(B188,Team!B:B,Team!A:A),""))</f>
      </c>
      <c r="D188">
        <f>IF(B188="","",IFERROR(XLOOKUP(B188,Team!B:B,Team!D:D),""))</f>
      </c>
      <c r="G188">
        <f>IF(B188="","",E188+F188)</f>
      </c>
    </row>
    <row r="189">
      <c r="C189">
        <f>IF(B189="","",IFERROR(XLOOKUP(B189,Team!B:B,Team!A:A),""))</f>
      </c>
      <c r="D189">
        <f>IF(B189="","",IFERROR(XLOOKUP(B189,Team!B:B,Team!D:D),""))</f>
      </c>
      <c r="G189">
        <f>IF(B189="","",E189+F189)</f>
      </c>
    </row>
    <row r="190">
      <c r="C190">
        <f>IF(B190="","",IFERROR(XLOOKUP(B190,Team!B:B,Team!A:A),""))</f>
      </c>
      <c r="D190">
        <f>IF(B190="","",IFERROR(XLOOKUP(B190,Team!B:B,Team!D:D),""))</f>
      </c>
      <c r="G190">
        <f>IF(B190="","",E190+F190)</f>
      </c>
    </row>
    <row r="191">
      <c r="C191">
        <f>IF(B191="","",IFERROR(XLOOKUP(B191,Team!B:B,Team!A:A),""))</f>
      </c>
      <c r="D191">
        <f>IF(B191="","",IFERROR(XLOOKUP(B191,Team!B:B,Team!D:D),""))</f>
      </c>
      <c r="G191">
        <f>IF(B191="","",E191+F191)</f>
      </c>
    </row>
    <row r="192">
      <c r="C192">
        <f>IF(B192="","",IFERROR(XLOOKUP(B192,Team!B:B,Team!A:A),""))</f>
      </c>
      <c r="D192">
        <f>IF(B192="","",IFERROR(XLOOKUP(B192,Team!B:B,Team!D:D),""))</f>
      </c>
      <c r="G192">
        <f>IF(B192="","",E192+F192)</f>
      </c>
    </row>
    <row r="193">
      <c r="C193">
        <f>IF(B193="","",IFERROR(XLOOKUP(B193,Team!B:B,Team!A:A),""))</f>
      </c>
      <c r="D193">
        <f>IF(B193="","",IFERROR(XLOOKUP(B193,Team!B:B,Team!D:D),""))</f>
      </c>
      <c r="G193">
        <f>IF(B193="","",E193+F193)</f>
      </c>
    </row>
    <row r="194">
      <c r="C194">
        <f>IF(B194="","",IFERROR(XLOOKUP(B194,Team!B:B,Team!A:A),""))</f>
      </c>
      <c r="D194">
        <f>IF(B194="","",IFERROR(XLOOKUP(B194,Team!B:B,Team!D:D),""))</f>
      </c>
      <c r="G194">
        <f>IF(B194="","",E194+F194)</f>
      </c>
    </row>
    <row r="195">
      <c r="C195">
        <f>IF(B195="","",IFERROR(XLOOKUP(B195,Team!B:B,Team!A:A),""))</f>
      </c>
      <c r="D195">
        <f>IF(B195="","",IFERROR(XLOOKUP(B195,Team!B:B,Team!D:D),""))</f>
      </c>
      <c r="G195">
        <f>IF(B195="","",E195+F195)</f>
      </c>
    </row>
    <row r="196">
      <c r="C196">
        <f>IF(B196="","",IFERROR(XLOOKUP(B196,Team!B:B,Team!A:A),""))</f>
      </c>
      <c r="D196">
        <f>IF(B196="","",IFERROR(XLOOKUP(B196,Team!B:B,Team!D:D),""))</f>
      </c>
      <c r="G196">
        <f>IF(B196="","",E196+F196)</f>
      </c>
    </row>
    <row r="197">
      <c r="C197">
        <f>IF(B197="","",IFERROR(XLOOKUP(B197,Team!B:B,Team!A:A),""))</f>
      </c>
      <c r="D197">
        <f>IF(B197="","",IFERROR(XLOOKUP(B197,Team!B:B,Team!D:D),""))</f>
      </c>
      <c r="G197">
        <f>IF(B197="","",E197+F197)</f>
      </c>
    </row>
    <row r="198">
      <c r="C198">
        <f>IF(B198="","",IFERROR(XLOOKUP(B198,Team!B:B,Team!A:A),""))</f>
      </c>
      <c r="D198">
        <f>IF(B198="","",IFERROR(XLOOKUP(B198,Team!B:B,Team!D:D),""))</f>
      </c>
      <c r="G198">
        <f>IF(B198="","",E198+F198)</f>
      </c>
    </row>
    <row r="199">
      <c r="C199">
        <f>IF(B199="","",IFERROR(XLOOKUP(B199,Team!B:B,Team!A:A),""))</f>
      </c>
      <c r="D199">
        <f>IF(B199="","",IFERROR(XLOOKUP(B199,Team!B:B,Team!D:D),""))</f>
      </c>
      <c r="G199">
        <f>IF(B199="","",E199+F199)</f>
      </c>
    </row>
    <row r="200">
      <c r="C200">
        <f>IF(B200="","",IFERROR(XLOOKUP(B200,Team!B:B,Team!A:A),""))</f>
      </c>
      <c r="D200">
        <f>IF(B200="","",IFERROR(XLOOKUP(B200,Team!B:B,Team!D:D),""))</f>
      </c>
      <c r="G200">
        <f>IF(B200="","",E200+F200)</f>
      </c>
    </row>
    <row r="201">
      <c r="C201">
        <f>IF(B201="","",IFERROR(XLOOKUP(B201,Team!B:B,Team!A:A),""))</f>
      </c>
      <c r="D201">
        <f>IF(B201="","",IFERROR(XLOOKUP(B201,Team!B:B,Team!D:D),""))</f>
      </c>
      <c r="G201">
        <f>IF(B201="","",E201+F201)</f>
      </c>
    </row>
    <row r="202">
      <c r="C202">
        <f>IF(B202="","",IFERROR(XLOOKUP(B202,Team!B:B,Team!A:A),""))</f>
      </c>
      <c r="D202">
        <f>IF(B202="","",IFERROR(XLOOKUP(B202,Team!B:B,Team!D:D),""))</f>
      </c>
      <c r="G202">
        <f>IF(B202="","",E202+F202)</f>
      </c>
    </row>
    <row r="203">
      <c r="C203">
        <f>IF(B203="","",IFERROR(XLOOKUP(B203,Team!B:B,Team!A:A),""))</f>
      </c>
      <c r="D203">
        <f>IF(B203="","",IFERROR(XLOOKUP(B203,Team!B:B,Team!D:D),""))</f>
      </c>
      <c r="G203">
        <f>IF(B203="","",E203+F203)</f>
      </c>
    </row>
    <row r="204">
      <c r="C204">
        <f>IF(B204="","",IFERROR(XLOOKUP(B204,Team!B:B,Team!A:A),""))</f>
      </c>
      <c r="D204">
        <f>IF(B204="","",IFERROR(XLOOKUP(B204,Team!B:B,Team!D:D),""))</f>
      </c>
      <c r="G204">
        <f>IF(B204="","",E204+F204)</f>
      </c>
    </row>
    <row r="205">
      <c r="C205">
        <f>IF(B205="","",IFERROR(XLOOKUP(B205,Team!B:B,Team!A:A),""))</f>
      </c>
      <c r="D205">
        <f>IF(B205="","",IFERROR(XLOOKUP(B205,Team!B:B,Team!D:D),""))</f>
      </c>
      <c r="G205">
        <f>IF(B205="","",E205+F205)</f>
      </c>
    </row>
    <row r="206">
      <c r="C206">
        <f>IF(B206="","",IFERROR(XLOOKUP(B206,Team!B:B,Team!A:A),""))</f>
      </c>
      <c r="D206">
        <f>IF(B206="","",IFERROR(XLOOKUP(B206,Team!B:B,Team!D:D),""))</f>
      </c>
      <c r="G206">
        <f>IF(B206="","",E206+F206)</f>
      </c>
    </row>
    <row r="207">
      <c r="C207">
        <f>IF(B207="","",IFERROR(XLOOKUP(B207,Team!B:B,Team!A:A),""))</f>
      </c>
      <c r="D207">
        <f>IF(B207="","",IFERROR(XLOOKUP(B207,Team!B:B,Team!D:D),""))</f>
      </c>
      <c r="G207">
        <f>IF(B207="","",E207+F207)</f>
      </c>
    </row>
    <row r="208">
      <c r="C208">
        <f>IF(B208="","",IFERROR(XLOOKUP(B208,Team!B:B,Team!A:A),""))</f>
      </c>
      <c r="D208">
        <f>IF(B208="","",IFERROR(XLOOKUP(B208,Team!B:B,Team!D:D),""))</f>
      </c>
      <c r="G208">
        <f>IF(B208="","",E208+F208)</f>
      </c>
    </row>
    <row r="209">
      <c r="C209">
        <f>IF(B209="","",IFERROR(XLOOKUP(B209,Team!B:B,Team!A:A),""))</f>
      </c>
      <c r="D209">
        <f>IF(B209="","",IFERROR(XLOOKUP(B209,Team!B:B,Team!D:D),""))</f>
      </c>
      <c r="G209">
        <f>IF(B209="","",E209+F209)</f>
      </c>
    </row>
    <row r="210">
      <c r="C210">
        <f>IF(B210="","",IFERROR(XLOOKUP(B210,Team!B:B,Team!A:A),""))</f>
      </c>
      <c r="D210">
        <f>IF(B210="","",IFERROR(XLOOKUP(B210,Team!B:B,Team!D:D),""))</f>
      </c>
      <c r="G210">
        <f>IF(B210="","",E210+F210)</f>
      </c>
    </row>
    <row r="211">
      <c r="C211">
        <f>IF(B211="","",IFERROR(XLOOKUP(B211,Team!B:B,Team!A:A),""))</f>
      </c>
      <c r="D211">
        <f>IF(B211="","",IFERROR(XLOOKUP(B211,Team!B:B,Team!D:D),""))</f>
      </c>
      <c r="G211">
        <f>IF(B211="","",E211+F211)</f>
      </c>
    </row>
    <row r="212">
      <c r="C212">
        <f>IF(B212="","",IFERROR(XLOOKUP(B212,Team!B:B,Team!A:A),""))</f>
      </c>
      <c r="D212">
        <f>IF(B212="","",IFERROR(XLOOKUP(B212,Team!B:B,Team!D:D),""))</f>
      </c>
      <c r="G212">
        <f>IF(B212="","",E212+F212)</f>
      </c>
    </row>
    <row r="213">
      <c r="C213">
        <f>IF(B213="","",IFERROR(XLOOKUP(B213,Team!B:B,Team!A:A),""))</f>
      </c>
      <c r="D213">
        <f>IF(B213="","",IFERROR(XLOOKUP(B213,Team!B:B,Team!D:D),""))</f>
      </c>
      <c r="G213">
        <f>IF(B213="","",E213+F213)</f>
      </c>
    </row>
    <row r="214">
      <c r="C214">
        <f>IF(B214="","",IFERROR(XLOOKUP(B214,Team!B:B,Team!A:A),""))</f>
      </c>
      <c r="D214">
        <f>IF(B214="","",IFERROR(XLOOKUP(B214,Team!B:B,Team!D:D),""))</f>
      </c>
      <c r="G214">
        <f>IF(B214="","",E214+F214)</f>
      </c>
    </row>
    <row r="215">
      <c r="C215">
        <f>IF(B215="","",IFERROR(XLOOKUP(B215,Team!B:B,Team!A:A),""))</f>
      </c>
      <c r="D215">
        <f>IF(B215="","",IFERROR(XLOOKUP(B215,Team!B:B,Team!D:D),""))</f>
      </c>
      <c r="G215">
        <f>IF(B215="","",E215+F215)</f>
      </c>
    </row>
    <row r="216">
      <c r="C216">
        <f>IF(B216="","",IFERROR(XLOOKUP(B216,Team!B:B,Team!A:A),""))</f>
      </c>
      <c r="D216">
        <f>IF(B216="","",IFERROR(XLOOKUP(B216,Team!B:B,Team!D:D),""))</f>
      </c>
      <c r="G216">
        <f>IF(B216="","",E216+F216)</f>
      </c>
    </row>
    <row r="217">
      <c r="C217">
        <f>IF(B217="","",IFERROR(XLOOKUP(B217,Team!B:B,Team!A:A),""))</f>
      </c>
      <c r="D217">
        <f>IF(B217="","",IFERROR(XLOOKUP(B217,Team!B:B,Team!D:D),""))</f>
      </c>
      <c r="G217">
        <f>IF(B217="","",E217+F217)</f>
      </c>
    </row>
    <row r="218">
      <c r="C218">
        <f>IF(B218="","",IFERROR(XLOOKUP(B218,Team!B:B,Team!A:A),""))</f>
      </c>
      <c r="D218">
        <f>IF(B218="","",IFERROR(XLOOKUP(B218,Team!B:B,Team!D:D),""))</f>
      </c>
      <c r="G218">
        <f>IF(B218="","",E218+F218)</f>
      </c>
    </row>
    <row r="219">
      <c r="C219">
        <f>IF(B219="","",IFERROR(XLOOKUP(B219,Team!B:B,Team!A:A),""))</f>
      </c>
      <c r="D219">
        <f>IF(B219="","",IFERROR(XLOOKUP(B219,Team!B:B,Team!D:D),""))</f>
      </c>
      <c r="G219">
        <f>IF(B219="","",E219+F219)</f>
      </c>
    </row>
    <row r="220">
      <c r="C220">
        <f>IF(B220="","",IFERROR(XLOOKUP(B220,Team!B:B,Team!A:A),""))</f>
      </c>
      <c r="D220">
        <f>IF(B220="","",IFERROR(XLOOKUP(B220,Team!B:B,Team!D:D),""))</f>
      </c>
      <c r="G220">
        <f>IF(B220="","",E220+F220)</f>
      </c>
    </row>
    <row r="221">
      <c r="C221">
        <f>IF(B221="","",IFERROR(XLOOKUP(B221,Team!B:B,Team!A:A),""))</f>
      </c>
      <c r="D221">
        <f>IF(B221="","",IFERROR(XLOOKUP(B221,Team!B:B,Team!D:D),""))</f>
      </c>
      <c r="G221">
        <f>IF(B221="","",E221+F221)</f>
      </c>
    </row>
    <row r="222">
      <c r="C222">
        <f>IF(B222="","",IFERROR(XLOOKUP(B222,Team!B:B,Team!A:A),""))</f>
      </c>
      <c r="D222">
        <f>IF(B222="","",IFERROR(XLOOKUP(B222,Team!B:B,Team!D:D),""))</f>
      </c>
      <c r="G222">
        <f>IF(B222="","",E222+F222)</f>
      </c>
    </row>
    <row r="223">
      <c r="C223">
        <f>IF(B223="","",IFERROR(XLOOKUP(B223,Team!B:B,Team!A:A),""))</f>
      </c>
      <c r="D223">
        <f>IF(B223="","",IFERROR(XLOOKUP(B223,Team!B:B,Team!D:D),""))</f>
      </c>
      <c r="G223">
        <f>IF(B223="","",E223+F223)</f>
      </c>
    </row>
    <row r="224">
      <c r="C224">
        <f>IF(B224="","",IFERROR(XLOOKUP(B224,Team!B:B,Team!A:A),""))</f>
      </c>
      <c r="D224">
        <f>IF(B224="","",IFERROR(XLOOKUP(B224,Team!B:B,Team!D:D),""))</f>
      </c>
      <c r="G224">
        <f>IF(B224="","",E224+F224)</f>
      </c>
    </row>
    <row r="225">
      <c r="C225">
        <f>IF(B225="","",IFERROR(XLOOKUP(B225,Team!B:B,Team!A:A),""))</f>
      </c>
      <c r="D225">
        <f>IF(B225="","",IFERROR(XLOOKUP(B225,Team!B:B,Team!D:D),""))</f>
      </c>
      <c r="G225">
        <f>IF(B225="","",E225+F225)</f>
      </c>
    </row>
    <row r="226">
      <c r="C226">
        <f>IF(B226="","",IFERROR(XLOOKUP(B226,Team!B:B,Team!A:A),""))</f>
      </c>
      <c r="D226">
        <f>IF(B226="","",IFERROR(XLOOKUP(B226,Team!B:B,Team!D:D),""))</f>
      </c>
      <c r="G226">
        <f>IF(B226="","",E226+F226)</f>
      </c>
    </row>
    <row r="227">
      <c r="C227">
        <f>IF(B227="","",IFERROR(XLOOKUP(B227,Team!B:B,Team!A:A),""))</f>
      </c>
      <c r="D227">
        <f>IF(B227="","",IFERROR(XLOOKUP(B227,Team!B:B,Team!D:D),""))</f>
      </c>
      <c r="G227">
        <f>IF(B227="","",E227+F227)</f>
      </c>
    </row>
    <row r="228">
      <c r="C228">
        <f>IF(B228="","",IFERROR(XLOOKUP(B228,Team!B:B,Team!A:A),""))</f>
      </c>
      <c r="D228">
        <f>IF(B228="","",IFERROR(XLOOKUP(B228,Team!B:B,Team!D:D),""))</f>
      </c>
      <c r="G228">
        <f>IF(B228="","",E228+F228)</f>
      </c>
    </row>
    <row r="229">
      <c r="C229">
        <f>IF(B229="","",IFERROR(XLOOKUP(B229,Team!B:B,Team!A:A),""))</f>
      </c>
      <c r="D229">
        <f>IF(B229="","",IFERROR(XLOOKUP(B229,Team!B:B,Team!D:D),""))</f>
      </c>
      <c r="G229">
        <f>IF(B229="","",E229+F229)</f>
      </c>
    </row>
    <row r="230">
      <c r="C230">
        <f>IF(B230="","",IFERROR(XLOOKUP(B230,Team!B:B,Team!A:A),""))</f>
      </c>
      <c r="D230">
        <f>IF(B230="","",IFERROR(XLOOKUP(B230,Team!B:B,Team!D:D),""))</f>
      </c>
      <c r="G230">
        <f>IF(B230="","",E230+F230)</f>
      </c>
    </row>
    <row r="231">
      <c r="C231">
        <f>IF(B231="","",IFERROR(XLOOKUP(B231,Team!B:B,Team!A:A),""))</f>
      </c>
      <c r="D231">
        <f>IF(B231="","",IFERROR(XLOOKUP(B231,Team!B:B,Team!D:D),""))</f>
      </c>
      <c r="G231">
        <f>IF(B231="","",E231+F231)</f>
      </c>
    </row>
    <row r="232">
      <c r="C232">
        <f>IF(B232="","",IFERROR(XLOOKUP(B232,Team!B:B,Team!A:A),""))</f>
      </c>
      <c r="D232">
        <f>IF(B232="","",IFERROR(XLOOKUP(B232,Team!B:B,Team!D:D),""))</f>
      </c>
      <c r="G232">
        <f>IF(B232="","",E232+F232)</f>
      </c>
    </row>
    <row r="233">
      <c r="C233">
        <f>IF(B233="","",IFERROR(XLOOKUP(B233,Team!B:B,Team!A:A),""))</f>
      </c>
      <c r="D233">
        <f>IF(B233="","",IFERROR(XLOOKUP(B233,Team!B:B,Team!D:D),""))</f>
      </c>
      <c r="G233">
        <f>IF(B233="","",E233+F233)</f>
      </c>
    </row>
    <row r="234">
      <c r="C234">
        <f>IF(B234="","",IFERROR(XLOOKUP(B234,Team!B:B,Team!A:A),""))</f>
      </c>
      <c r="D234">
        <f>IF(B234="","",IFERROR(XLOOKUP(B234,Team!B:B,Team!D:D),""))</f>
      </c>
      <c r="G234">
        <f>IF(B234="","",E234+F234)</f>
      </c>
    </row>
    <row r="235">
      <c r="C235">
        <f>IF(B235="","",IFERROR(XLOOKUP(B235,Team!B:B,Team!A:A),""))</f>
      </c>
      <c r="D235">
        <f>IF(B235="","",IFERROR(XLOOKUP(B235,Team!B:B,Team!D:D),""))</f>
      </c>
      <c r="G235">
        <f>IF(B235="","",E235+F235)</f>
      </c>
    </row>
    <row r="236">
      <c r="C236">
        <f>IF(B236="","",IFERROR(XLOOKUP(B236,Team!B:B,Team!A:A),""))</f>
      </c>
      <c r="D236">
        <f>IF(B236="","",IFERROR(XLOOKUP(B236,Team!B:B,Team!D:D),""))</f>
      </c>
      <c r="G236">
        <f>IF(B236="","",E236+F236)</f>
      </c>
    </row>
    <row r="237">
      <c r="C237">
        <f>IF(B237="","",IFERROR(XLOOKUP(B237,Team!B:B,Team!A:A),""))</f>
      </c>
      <c r="D237">
        <f>IF(B237="","",IFERROR(XLOOKUP(B237,Team!B:B,Team!D:D),""))</f>
      </c>
      <c r="G237">
        <f>IF(B237="","",E237+F237)</f>
      </c>
    </row>
    <row r="238">
      <c r="C238">
        <f>IF(B238="","",IFERROR(XLOOKUP(B238,Team!B:B,Team!A:A),""))</f>
      </c>
      <c r="D238">
        <f>IF(B238="","",IFERROR(XLOOKUP(B238,Team!B:B,Team!D:D),""))</f>
      </c>
      <c r="G238">
        <f>IF(B238="","",E238+F238)</f>
      </c>
    </row>
    <row r="239">
      <c r="C239">
        <f>IF(B239="","",IFERROR(XLOOKUP(B239,Team!B:B,Team!A:A),""))</f>
      </c>
      <c r="D239">
        <f>IF(B239="","",IFERROR(XLOOKUP(B239,Team!B:B,Team!D:D),""))</f>
      </c>
      <c r="G239">
        <f>IF(B239="","",E239+F239)</f>
      </c>
    </row>
    <row r="240">
      <c r="C240">
        <f>IF(B240="","",IFERROR(XLOOKUP(B240,Team!B:B,Team!A:A),""))</f>
      </c>
      <c r="D240">
        <f>IF(B240="","",IFERROR(XLOOKUP(B240,Team!B:B,Team!D:D),""))</f>
      </c>
      <c r="G240">
        <f>IF(B240="","",E240+F240)</f>
      </c>
    </row>
    <row r="241">
      <c r="C241">
        <f>IF(B241="","",IFERROR(XLOOKUP(B241,Team!B:B,Team!A:A),""))</f>
      </c>
      <c r="D241">
        <f>IF(B241="","",IFERROR(XLOOKUP(B241,Team!B:B,Team!D:D),""))</f>
      </c>
      <c r="G241">
        <f>IF(B241="","",E241+F241)</f>
      </c>
    </row>
    <row r="242">
      <c r="C242">
        <f>IF(B242="","",IFERROR(XLOOKUP(B242,Team!B:B,Team!A:A),""))</f>
      </c>
      <c r="D242">
        <f>IF(B242="","",IFERROR(XLOOKUP(B242,Team!B:B,Team!D:D),""))</f>
      </c>
      <c r="G242">
        <f>IF(B242="","",E242+F242)</f>
      </c>
    </row>
    <row r="243">
      <c r="C243">
        <f>IF(B243="","",IFERROR(XLOOKUP(B243,Team!B:B,Team!A:A),""))</f>
      </c>
      <c r="D243">
        <f>IF(B243="","",IFERROR(XLOOKUP(B243,Team!B:B,Team!D:D),""))</f>
      </c>
      <c r="G243">
        <f>IF(B243="","",E243+F243)</f>
      </c>
    </row>
    <row r="244">
      <c r="C244">
        <f>IF(B244="","",IFERROR(XLOOKUP(B244,Team!B:B,Team!A:A),""))</f>
      </c>
      <c r="D244">
        <f>IF(B244="","",IFERROR(XLOOKUP(B244,Team!B:B,Team!D:D),""))</f>
      </c>
      <c r="G244">
        <f>IF(B244="","",E244+F244)</f>
      </c>
    </row>
    <row r="245">
      <c r="C245">
        <f>IF(B245="","",IFERROR(XLOOKUP(B245,Team!B:B,Team!A:A),""))</f>
      </c>
      <c r="D245">
        <f>IF(B245="","",IFERROR(XLOOKUP(B245,Team!B:B,Team!D:D),""))</f>
      </c>
      <c r="G245">
        <f>IF(B245="","",E245+F245)</f>
      </c>
    </row>
    <row r="246">
      <c r="C246">
        <f>IF(B246="","",IFERROR(XLOOKUP(B246,Team!B:B,Team!A:A),""))</f>
      </c>
      <c r="D246">
        <f>IF(B246="","",IFERROR(XLOOKUP(B246,Team!B:B,Team!D:D),""))</f>
      </c>
      <c r="G246">
        <f>IF(B246="","",E246+F246)</f>
      </c>
    </row>
    <row r="247">
      <c r="C247">
        <f>IF(B247="","",IFERROR(XLOOKUP(B247,Team!B:B,Team!A:A),""))</f>
      </c>
      <c r="D247">
        <f>IF(B247="","",IFERROR(XLOOKUP(B247,Team!B:B,Team!D:D),""))</f>
      </c>
      <c r="G247">
        <f>IF(B247="","",E247+F247)</f>
      </c>
    </row>
    <row r="248">
      <c r="C248">
        <f>IF(B248="","",IFERROR(XLOOKUP(B248,Team!B:B,Team!A:A),""))</f>
      </c>
      <c r="D248">
        <f>IF(B248="","",IFERROR(XLOOKUP(B248,Team!B:B,Team!D:D),""))</f>
      </c>
      <c r="G248">
        <f>IF(B248="","",E248+F248)</f>
      </c>
    </row>
    <row r="249">
      <c r="C249">
        <f>IF(B249="","",IFERROR(XLOOKUP(B249,Team!B:B,Team!A:A),""))</f>
      </c>
      <c r="D249">
        <f>IF(B249="","",IFERROR(XLOOKUP(B249,Team!B:B,Team!D:D),""))</f>
      </c>
      <c r="G249">
        <f>IF(B249="","",E249+F249)</f>
      </c>
    </row>
    <row r="250">
      <c r="C250">
        <f>IF(B250="","",IFERROR(XLOOKUP(B250,Team!B:B,Team!A:A),""))</f>
      </c>
      <c r="D250">
        <f>IF(B250="","",IFERROR(XLOOKUP(B250,Team!B:B,Team!D:D),""))</f>
      </c>
      <c r="G250">
        <f>IF(B250="","",E250+F250)</f>
      </c>
    </row>
    <row r="251">
      <c r="C251">
        <f>IF(B251="","",IFERROR(XLOOKUP(B251,Team!B:B,Team!A:A),""))</f>
      </c>
      <c r="D251">
        <f>IF(B251="","",IFERROR(XLOOKUP(B251,Team!B:B,Team!D:D),""))</f>
      </c>
      <c r="G251">
        <f>IF(B251="","",E251+F251)</f>
      </c>
    </row>
    <row r="252">
      <c r="C252">
        <f>IF(B252="","",IFERROR(XLOOKUP(B252,Team!B:B,Team!A:A),""))</f>
      </c>
      <c r="D252">
        <f>IF(B252="","",IFERROR(XLOOKUP(B252,Team!B:B,Team!D:D),""))</f>
      </c>
      <c r="G252">
        <f>IF(B252="","",E252+F252)</f>
      </c>
    </row>
    <row r="253">
      <c r="C253">
        <f>IF(B253="","",IFERROR(XLOOKUP(B253,Team!B:B,Team!A:A),""))</f>
      </c>
      <c r="D253">
        <f>IF(B253="","",IFERROR(XLOOKUP(B253,Team!B:B,Team!D:D),""))</f>
      </c>
      <c r="G253">
        <f>IF(B253="","",E253+F253)</f>
      </c>
    </row>
    <row r="254">
      <c r="C254">
        <f>IF(B254="","",IFERROR(XLOOKUP(B254,Team!B:B,Team!A:A),""))</f>
      </c>
      <c r="D254">
        <f>IF(B254="","",IFERROR(XLOOKUP(B254,Team!B:B,Team!D:D),""))</f>
      </c>
      <c r="G254">
        <f>IF(B254="","",E254+F254)</f>
      </c>
    </row>
    <row r="255">
      <c r="C255">
        <f>IF(B255="","",IFERROR(XLOOKUP(B255,Team!B:B,Team!A:A),""))</f>
      </c>
      <c r="D255">
        <f>IF(B255="","",IFERROR(XLOOKUP(B255,Team!B:B,Team!D:D),""))</f>
      </c>
      <c r="G255">
        <f>IF(B255="","",E255+F255)</f>
      </c>
    </row>
    <row r="256">
      <c r="C256">
        <f>IF(B256="","",IFERROR(XLOOKUP(B256,Team!B:B,Team!A:A),""))</f>
      </c>
      <c r="D256">
        <f>IF(B256="","",IFERROR(XLOOKUP(B256,Team!B:B,Team!D:D),""))</f>
      </c>
      <c r="G256">
        <f>IF(B256="","",E256+F256)</f>
      </c>
    </row>
    <row r="257">
      <c r="C257">
        <f>IF(B257="","",IFERROR(XLOOKUP(B257,Team!B:B,Team!A:A),""))</f>
      </c>
      <c r="D257">
        <f>IF(B257="","",IFERROR(XLOOKUP(B257,Team!B:B,Team!D:D),""))</f>
      </c>
      <c r="G257">
        <f>IF(B257="","",E257+F257)</f>
      </c>
    </row>
    <row r="258">
      <c r="C258">
        <f>IF(B258="","",IFERROR(XLOOKUP(B258,Team!B:B,Team!A:A),""))</f>
      </c>
      <c r="D258">
        <f>IF(B258="","",IFERROR(XLOOKUP(B258,Team!B:B,Team!D:D),""))</f>
      </c>
      <c r="G258">
        <f>IF(B258="","",E258+F258)</f>
      </c>
    </row>
    <row r="259">
      <c r="C259">
        <f>IF(B259="","",IFERROR(XLOOKUP(B259,Team!B:B,Team!A:A),""))</f>
      </c>
      <c r="D259">
        <f>IF(B259="","",IFERROR(XLOOKUP(B259,Team!B:B,Team!D:D),""))</f>
      </c>
      <c r="G259">
        <f>IF(B259="","",E259+F259)</f>
      </c>
    </row>
    <row r="260">
      <c r="C260">
        <f>IF(B260="","",IFERROR(XLOOKUP(B260,Team!B:B,Team!A:A),""))</f>
      </c>
      <c r="D260">
        <f>IF(B260="","",IFERROR(XLOOKUP(B260,Team!B:B,Team!D:D),""))</f>
      </c>
      <c r="G260">
        <f>IF(B260="","",E260+F260)</f>
      </c>
    </row>
    <row r="261">
      <c r="C261">
        <f>IF(B261="","",IFERROR(XLOOKUP(B261,Team!B:B,Team!A:A),""))</f>
      </c>
      <c r="D261">
        <f>IF(B261="","",IFERROR(XLOOKUP(B261,Team!B:B,Team!D:D),""))</f>
      </c>
      <c r="G261">
        <f>IF(B261="","",E261+F261)</f>
      </c>
    </row>
    <row r="262">
      <c r="C262">
        <f>IF(B262="","",IFERROR(XLOOKUP(B262,Team!B:B,Team!A:A),""))</f>
      </c>
      <c r="D262">
        <f>IF(B262="","",IFERROR(XLOOKUP(B262,Team!B:B,Team!D:D),""))</f>
      </c>
      <c r="G262">
        <f>IF(B262="","",E262+F262)</f>
      </c>
    </row>
    <row r="263">
      <c r="C263">
        <f>IF(B263="","",IFERROR(XLOOKUP(B263,Team!B:B,Team!A:A),""))</f>
      </c>
      <c r="D263">
        <f>IF(B263="","",IFERROR(XLOOKUP(B263,Team!B:B,Team!D:D),""))</f>
      </c>
      <c r="G263">
        <f>IF(B263="","",E263+F263)</f>
      </c>
    </row>
    <row r="264">
      <c r="C264">
        <f>IF(B264="","",IFERROR(XLOOKUP(B264,Team!B:B,Team!A:A),""))</f>
      </c>
      <c r="D264">
        <f>IF(B264="","",IFERROR(XLOOKUP(B264,Team!B:B,Team!D:D),""))</f>
      </c>
      <c r="G264">
        <f>IF(B264="","",E264+F264)</f>
      </c>
    </row>
    <row r="265">
      <c r="C265">
        <f>IF(B265="","",IFERROR(XLOOKUP(B265,Team!B:B,Team!A:A),""))</f>
      </c>
      <c r="D265">
        <f>IF(B265="","",IFERROR(XLOOKUP(B265,Team!B:B,Team!D:D),""))</f>
      </c>
      <c r="G265">
        <f>IF(B265="","",E265+F265)</f>
      </c>
    </row>
    <row r="266">
      <c r="C266">
        <f>IF(B266="","",IFERROR(XLOOKUP(B266,Team!B:B,Team!A:A),""))</f>
      </c>
      <c r="D266">
        <f>IF(B266="","",IFERROR(XLOOKUP(B266,Team!B:B,Team!D:D),""))</f>
      </c>
      <c r="G266">
        <f>IF(B266="","",E266+F266)</f>
      </c>
    </row>
    <row r="267">
      <c r="C267">
        <f>IF(B267="","",IFERROR(XLOOKUP(B267,Team!B:B,Team!A:A),""))</f>
      </c>
      <c r="D267">
        <f>IF(B267="","",IFERROR(XLOOKUP(B267,Team!B:B,Team!D:D),""))</f>
      </c>
      <c r="G267">
        <f>IF(B267="","",E267+F267)</f>
      </c>
    </row>
    <row r="268">
      <c r="C268">
        <f>IF(B268="","",IFERROR(XLOOKUP(B268,Team!B:B,Team!A:A),""))</f>
      </c>
      <c r="D268">
        <f>IF(B268="","",IFERROR(XLOOKUP(B268,Team!B:B,Team!D:D),""))</f>
      </c>
      <c r="G268">
        <f>IF(B268="","",E268+F268)</f>
      </c>
    </row>
    <row r="269">
      <c r="C269">
        <f>IF(B269="","",IFERROR(XLOOKUP(B269,Team!B:B,Team!A:A),""))</f>
      </c>
      <c r="D269">
        <f>IF(B269="","",IFERROR(XLOOKUP(B269,Team!B:B,Team!D:D),""))</f>
      </c>
      <c r="G269">
        <f>IF(B269="","",E269+F269)</f>
      </c>
    </row>
    <row r="270">
      <c r="C270">
        <f>IF(B270="","",IFERROR(XLOOKUP(B270,Team!B:B,Team!A:A),""))</f>
      </c>
      <c r="D270">
        <f>IF(B270="","",IFERROR(XLOOKUP(B270,Team!B:B,Team!D:D),""))</f>
      </c>
      <c r="G270">
        <f>IF(B270="","",E270+F270)</f>
      </c>
    </row>
    <row r="271">
      <c r="C271">
        <f>IF(B271="","",IFERROR(XLOOKUP(B271,Team!B:B,Team!A:A),""))</f>
      </c>
      <c r="D271">
        <f>IF(B271="","",IFERROR(XLOOKUP(B271,Team!B:B,Team!D:D),""))</f>
      </c>
      <c r="G271">
        <f>IF(B271="","",E271+F271)</f>
      </c>
    </row>
    <row r="272">
      <c r="C272">
        <f>IF(B272="","",IFERROR(XLOOKUP(B272,Team!B:B,Team!A:A),""))</f>
      </c>
      <c r="D272">
        <f>IF(B272="","",IFERROR(XLOOKUP(B272,Team!B:B,Team!D:D),""))</f>
      </c>
      <c r="G272">
        <f>IF(B272="","",E272+F272)</f>
      </c>
    </row>
    <row r="273">
      <c r="C273">
        <f>IF(B273="","",IFERROR(XLOOKUP(B273,Team!B:B,Team!A:A),""))</f>
      </c>
      <c r="D273">
        <f>IF(B273="","",IFERROR(XLOOKUP(B273,Team!B:B,Team!D:D),""))</f>
      </c>
      <c r="G273">
        <f>IF(B273="","",E273+F273)</f>
      </c>
    </row>
    <row r="274">
      <c r="C274">
        <f>IF(B274="","",IFERROR(XLOOKUP(B274,Team!B:B,Team!A:A),""))</f>
      </c>
      <c r="D274">
        <f>IF(B274="","",IFERROR(XLOOKUP(B274,Team!B:B,Team!D:D),""))</f>
      </c>
      <c r="G274">
        <f>IF(B274="","",E274+F274)</f>
      </c>
    </row>
    <row r="275">
      <c r="C275">
        <f>IF(B275="","",IFERROR(XLOOKUP(B275,Team!B:B,Team!A:A),""))</f>
      </c>
      <c r="D275">
        <f>IF(B275="","",IFERROR(XLOOKUP(B275,Team!B:B,Team!D:D),""))</f>
      </c>
      <c r="G275">
        <f>IF(B275="","",E275+F275)</f>
      </c>
    </row>
    <row r="276">
      <c r="C276">
        <f>IF(B276="","",IFERROR(XLOOKUP(B276,Team!B:B,Team!A:A),""))</f>
      </c>
      <c r="D276">
        <f>IF(B276="","",IFERROR(XLOOKUP(B276,Team!B:B,Team!D:D),""))</f>
      </c>
      <c r="G276">
        <f>IF(B276="","",E276+F276)</f>
      </c>
    </row>
    <row r="277">
      <c r="C277">
        <f>IF(B277="","",IFERROR(XLOOKUP(B277,Team!B:B,Team!A:A),""))</f>
      </c>
      <c r="D277">
        <f>IF(B277="","",IFERROR(XLOOKUP(B277,Team!B:B,Team!D:D),""))</f>
      </c>
      <c r="G277">
        <f>IF(B277="","",E277+F277)</f>
      </c>
    </row>
    <row r="278">
      <c r="C278">
        <f>IF(B278="","",IFERROR(XLOOKUP(B278,Team!B:B,Team!A:A),""))</f>
      </c>
      <c r="D278">
        <f>IF(B278="","",IFERROR(XLOOKUP(B278,Team!B:B,Team!D:D),""))</f>
      </c>
      <c r="G278">
        <f>IF(B278="","",E278+F278)</f>
      </c>
    </row>
    <row r="279">
      <c r="C279">
        <f>IF(B279="","",IFERROR(XLOOKUP(B279,Team!B:B,Team!A:A),""))</f>
      </c>
      <c r="D279">
        <f>IF(B279="","",IFERROR(XLOOKUP(B279,Team!B:B,Team!D:D),""))</f>
      </c>
      <c r="G279">
        <f>IF(B279="","",E279+F279)</f>
      </c>
    </row>
    <row r="280">
      <c r="C280">
        <f>IF(B280="","",IFERROR(XLOOKUP(B280,Team!B:B,Team!A:A),""))</f>
      </c>
      <c r="D280">
        <f>IF(B280="","",IFERROR(XLOOKUP(B280,Team!B:B,Team!D:D),""))</f>
      </c>
      <c r="G280">
        <f>IF(B280="","",E280+F280)</f>
      </c>
    </row>
    <row r="281">
      <c r="C281">
        <f>IF(B281="","",IFERROR(XLOOKUP(B281,Team!B:B,Team!A:A),""))</f>
      </c>
      <c r="D281">
        <f>IF(B281="","",IFERROR(XLOOKUP(B281,Team!B:B,Team!D:D),""))</f>
      </c>
      <c r="G281">
        <f>IF(B281="","",E281+F281)</f>
      </c>
    </row>
    <row r="282">
      <c r="C282">
        <f>IF(B282="","",IFERROR(XLOOKUP(B282,Team!B:B,Team!A:A),""))</f>
      </c>
      <c r="D282">
        <f>IF(B282="","",IFERROR(XLOOKUP(B282,Team!B:B,Team!D:D),""))</f>
      </c>
      <c r="G282">
        <f>IF(B282="","",E282+F282)</f>
      </c>
    </row>
    <row r="283">
      <c r="C283">
        <f>IF(B283="","",IFERROR(XLOOKUP(B283,Team!B:B,Team!A:A),""))</f>
      </c>
      <c r="D283">
        <f>IF(B283="","",IFERROR(XLOOKUP(B283,Team!B:B,Team!D:D),""))</f>
      </c>
      <c r="G283">
        <f>IF(B283="","",E283+F283)</f>
      </c>
    </row>
    <row r="284">
      <c r="C284">
        <f>IF(B284="","",IFERROR(XLOOKUP(B284,Team!B:B,Team!A:A),""))</f>
      </c>
      <c r="D284">
        <f>IF(B284="","",IFERROR(XLOOKUP(B284,Team!B:B,Team!D:D),""))</f>
      </c>
      <c r="G284">
        <f>IF(B284="","",E284+F284)</f>
      </c>
    </row>
    <row r="285">
      <c r="C285">
        <f>IF(B285="","",IFERROR(XLOOKUP(B285,Team!B:B,Team!A:A),""))</f>
      </c>
      <c r="D285">
        <f>IF(B285="","",IFERROR(XLOOKUP(B285,Team!B:B,Team!D:D),""))</f>
      </c>
      <c r="G285">
        <f>IF(B285="","",E285+F285)</f>
      </c>
    </row>
    <row r="286">
      <c r="C286">
        <f>IF(B286="","",IFERROR(XLOOKUP(B286,Team!B:B,Team!A:A),""))</f>
      </c>
      <c r="D286">
        <f>IF(B286="","",IFERROR(XLOOKUP(B286,Team!B:B,Team!D:D),""))</f>
      </c>
      <c r="G286">
        <f>IF(B286="","",E286+F286)</f>
      </c>
    </row>
    <row r="287">
      <c r="C287">
        <f>IF(B287="","",IFERROR(XLOOKUP(B287,Team!B:B,Team!A:A),""))</f>
      </c>
      <c r="D287">
        <f>IF(B287="","",IFERROR(XLOOKUP(B287,Team!B:B,Team!D:D),""))</f>
      </c>
      <c r="G287">
        <f>IF(B287="","",E287+F287)</f>
      </c>
    </row>
    <row r="288">
      <c r="C288">
        <f>IF(B288="","",IFERROR(XLOOKUP(B288,Team!B:B,Team!A:A),""))</f>
      </c>
      <c r="D288">
        <f>IF(B288="","",IFERROR(XLOOKUP(B288,Team!B:B,Team!D:D),""))</f>
      </c>
      <c r="G288">
        <f>IF(B288="","",E288+F288)</f>
      </c>
    </row>
    <row r="289">
      <c r="C289">
        <f>IF(B289="","",IFERROR(XLOOKUP(B289,Team!B:B,Team!A:A),""))</f>
      </c>
      <c r="D289">
        <f>IF(B289="","",IFERROR(XLOOKUP(B289,Team!B:B,Team!D:D),""))</f>
      </c>
      <c r="G289">
        <f>IF(B289="","",E289+F289)</f>
      </c>
    </row>
    <row r="290">
      <c r="C290">
        <f>IF(B290="","",IFERROR(XLOOKUP(B290,Team!B:B,Team!A:A),""))</f>
      </c>
      <c r="D290">
        <f>IF(B290="","",IFERROR(XLOOKUP(B290,Team!B:B,Team!D:D),""))</f>
      </c>
      <c r="G290">
        <f>IF(B290="","",E290+F290)</f>
      </c>
    </row>
    <row r="291">
      <c r="C291">
        <f>IF(B291="","",IFERROR(XLOOKUP(B291,Team!B:B,Team!A:A),""))</f>
      </c>
      <c r="D291">
        <f>IF(B291="","",IFERROR(XLOOKUP(B291,Team!B:B,Team!D:D),""))</f>
      </c>
      <c r="G291">
        <f>IF(B291="","",E291+F291)</f>
      </c>
    </row>
    <row r="292">
      <c r="C292">
        <f>IF(B292="","",IFERROR(XLOOKUP(B292,Team!B:B,Team!A:A),""))</f>
      </c>
      <c r="D292">
        <f>IF(B292="","",IFERROR(XLOOKUP(B292,Team!B:B,Team!D:D),""))</f>
      </c>
      <c r="G292">
        <f>IF(B292="","",E292+F292)</f>
      </c>
    </row>
    <row r="293">
      <c r="C293">
        <f>IF(B293="","",IFERROR(XLOOKUP(B293,Team!B:B,Team!A:A),""))</f>
      </c>
      <c r="D293">
        <f>IF(B293="","",IFERROR(XLOOKUP(B293,Team!B:B,Team!D:D),""))</f>
      </c>
      <c r="G293">
        <f>IF(B293="","",E293+F293)</f>
      </c>
    </row>
    <row r="294">
      <c r="C294">
        <f>IF(B294="","",IFERROR(XLOOKUP(B294,Team!B:B,Team!A:A),""))</f>
      </c>
      <c r="D294">
        <f>IF(B294="","",IFERROR(XLOOKUP(B294,Team!B:B,Team!D:D),""))</f>
      </c>
      <c r="G294">
        <f>IF(B294="","",E294+F294)</f>
      </c>
    </row>
    <row r="295">
      <c r="C295">
        <f>IF(B295="","",IFERROR(XLOOKUP(B295,Team!B:B,Team!A:A),""))</f>
      </c>
      <c r="D295">
        <f>IF(B295="","",IFERROR(XLOOKUP(B295,Team!B:B,Team!D:D),""))</f>
      </c>
      <c r="G295">
        <f>IF(B295="","",E295+F295)</f>
      </c>
    </row>
    <row r="296">
      <c r="C296">
        <f>IF(B296="","",IFERROR(XLOOKUP(B296,Team!B:B,Team!A:A),""))</f>
      </c>
      <c r="D296">
        <f>IF(B296="","",IFERROR(XLOOKUP(B296,Team!B:B,Team!D:D),""))</f>
      </c>
      <c r="G296">
        <f>IF(B296="","",E296+F296)</f>
      </c>
    </row>
    <row r="297">
      <c r="C297">
        <f>IF(B297="","",IFERROR(XLOOKUP(B297,Team!B:B,Team!A:A),""))</f>
      </c>
      <c r="D297">
        <f>IF(B297="","",IFERROR(XLOOKUP(B297,Team!B:B,Team!D:D),""))</f>
      </c>
      <c r="G297">
        <f>IF(B297="","",E297+F297)</f>
      </c>
    </row>
    <row r="298">
      <c r="C298">
        <f>IF(B298="","",IFERROR(XLOOKUP(B298,Team!B:B,Team!A:A),""))</f>
      </c>
      <c r="D298">
        <f>IF(B298="","",IFERROR(XLOOKUP(B298,Team!B:B,Team!D:D),""))</f>
      </c>
      <c r="G298">
        <f>IF(B298="","",E298+F298)</f>
      </c>
    </row>
    <row r="299">
      <c r="C299">
        <f>IF(B299="","",IFERROR(XLOOKUP(B299,Team!B:B,Team!A:A),""))</f>
      </c>
      <c r="D299">
        <f>IF(B299="","",IFERROR(XLOOKUP(B299,Team!B:B,Team!D:D),""))</f>
      </c>
      <c r="G299">
        <f>IF(B299="","",E299+F299)</f>
      </c>
    </row>
    <row r="300">
      <c r="C300">
        <f>IF(B300="","",IFERROR(XLOOKUP(B300,Team!B:B,Team!A:A),""))</f>
      </c>
      <c r="D300">
        <f>IF(B300="","",IFERROR(XLOOKUP(B300,Team!B:B,Team!D:D),""))</f>
      </c>
      <c r="G300">
        <f>IF(B300="","",E300+F300)</f>
      </c>
    </row>
    <row r="301">
      <c r="C301">
        <f>IF(B301="","",IFERROR(XLOOKUP(B301,Team!B:B,Team!A:A),""))</f>
      </c>
      <c r="D301">
        <f>IF(B301="","",IFERROR(XLOOKUP(B301,Team!B:B,Team!D:D),""))</f>
      </c>
      <c r="G301">
        <f>IF(B301="","",E301+F301)</f>
      </c>
    </row>
    <row r="302">
      <c r="C302">
        <f>IF(B302="","",IFERROR(XLOOKUP(B302,Team!B:B,Team!A:A),""))</f>
      </c>
      <c r="D302">
        <f>IF(B302="","",IFERROR(XLOOKUP(B302,Team!B:B,Team!D:D),""))</f>
      </c>
      <c r="G302">
        <f>IF(B302="","",E302+F302)</f>
      </c>
    </row>
    <row r="303">
      <c r="C303">
        <f>IF(B303="","",IFERROR(XLOOKUP(B303,Team!B:B,Team!A:A),""))</f>
      </c>
      <c r="D303">
        <f>IF(B303="","",IFERROR(XLOOKUP(B303,Team!B:B,Team!D:D),""))</f>
      </c>
      <c r="G303">
        <f>IF(B303="","",E303+F303)</f>
      </c>
    </row>
    <row r="304">
      <c r="C304">
        <f>IF(B304="","",IFERROR(XLOOKUP(B304,Team!B:B,Team!A:A),""))</f>
      </c>
      <c r="D304">
        <f>IF(B304="","",IFERROR(XLOOKUP(B304,Team!B:B,Team!D:D),""))</f>
      </c>
      <c r="G304">
        <f>IF(B304="","",E304+F304)</f>
      </c>
    </row>
    <row r="305">
      <c r="C305">
        <f>IF(B305="","",IFERROR(XLOOKUP(B305,Team!B:B,Team!A:A),""))</f>
      </c>
      <c r="D305">
        <f>IF(B305="","",IFERROR(XLOOKUP(B305,Team!B:B,Team!D:D),""))</f>
      </c>
      <c r="G305">
        <f>IF(B305="","",E305+F305)</f>
      </c>
    </row>
    <row r="306">
      <c r="C306">
        <f>IF(B306="","",IFERROR(XLOOKUP(B306,Team!B:B,Team!A:A),""))</f>
      </c>
      <c r="D306">
        <f>IF(B306="","",IFERROR(XLOOKUP(B306,Team!B:B,Team!D:D),""))</f>
      </c>
      <c r="G306">
        <f>IF(B306="","",E306+F306)</f>
      </c>
    </row>
    <row r="307">
      <c r="C307">
        <f>IF(B307="","",IFERROR(XLOOKUP(B307,Team!B:B,Team!A:A),""))</f>
      </c>
      <c r="D307">
        <f>IF(B307="","",IFERROR(XLOOKUP(B307,Team!B:B,Team!D:D),""))</f>
      </c>
      <c r="G307">
        <f>IF(B307="","",E307+F307)</f>
      </c>
    </row>
    <row r="308">
      <c r="C308">
        <f>IF(B308="","",IFERROR(XLOOKUP(B308,Team!B:B,Team!A:A),""))</f>
      </c>
      <c r="D308">
        <f>IF(B308="","",IFERROR(XLOOKUP(B308,Team!B:B,Team!D:D),""))</f>
      </c>
      <c r="G308">
        <f>IF(B308="","",E308+F308)</f>
      </c>
    </row>
    <row r="309">
      <c r="C309">
        <f>IF(B309="","",IFERROR(XLOOKUP(B309,Team!B:B,Team!A:A),""))</f>
      </c>
      <c r="D309">
        <f>IF(B309="","",IFERROR(XLOOKUP(B309,Team!B:B,Team!D:D),""))</f>
      </c>
      <c r="G309">
        <f>IF(B309="","",E309+F309)</f>
      </c>
    </row>
    <row r="310">
      <c r="C310">
        <f>IF(B310="","",IFERROR(XLOOKUP(B310,Team!B:B,Team!A:A),""))</f>
      </c>
      <c r="D310">
        <f>IF(B310="","",IFERROR(XLOOKUP(B310,Team!B:B,Team!D:D),""))</f>
      </c>
      <c r="G310">
        <f>IF(B310="","",E310+F310)</f>
      </c>
    </row>
    <row r="311">
      <c r="C311">
        <f>IF(B311="","",IFERROR(XLOOKUP(B311,Team!B:B,Team!A:A),""))</f>
      </c>
      <c r="D311">
        <f>IF(B311="","",IFERROR(XLOOKUP(B311,Team!B:B,Team!D:D),""))</f>
      </c>
      <c r="G311">
        <f>IF(B311="","",E311+F311)</f>
      </c>
    </row>
    <row r="312">
      <c r="C312">
        <f>IF(B312="","",IFERROR(XLOOKUP(B312,Team!B:B,Team!A:A),""))</f>
      </c>
      <c r="D312">
        <f>IF(B312="","",IFERROR(XLOOKUP(B312,Team!B:B,Team!D:D),""))</f>
      </c>
      <c r="G312">
        <f>IF(B312="","",E312+F312)</f>
      </c>
    </row>
    <row r="313">
      <c r="C313">
        <f>IF(B313="","",IFERROR(XLOOKUP(B313,Team!B:B,Team!A:A),""))</f>
      </c>
      <c r="D313">
        <f>IF(B313="","",IFERROR(XLOOKUP(B313,Team!B:B,Team!D:D),""))</f>
      </c>
      <c r="G313">
        <f>IF(B313="","",E313+F313)</f>
      </c>
    </row>
    <row r="314">
      <c r="C314">
        <f>IF(B314="","",IFERROR(XLOOKUP(B314,Team!B:B,Team!A:A),""))</f>
      </c>
      <c r="D314">
        <f>IF(B314="","",IFERROR(XLOOKUP(B314,Team!B:B,Team!D:D),""))</f>
      </c>
      <c r="G314">
        <f>IF(B314="","",E314+F314)</f>
      </c>
    </row>
    <row r="315">
      <c r="C315">
        <f>IF(B315="","",IFERROR(XLOOKUP(B315,Team!B:B,Team!A:A),""))</f>
      </c>
      <c r="D315">
        <f>IF(B315="","",IFERROR(XLOOKUP(B315,Team!B:B,Team!D:D),""))</f>
      </c>
      <c r="G315">
        <f>IF(B315="","",E315+F315)</f>
      </c>
    </row>
    <row r="316">
      <c r="C316">
        <f>IF(B316="","",IFERROR(XLOOKUP(B316,Team!B:B,Team!A:A),""))</f>
      </c>
      <c r="D316">
        <f>IF(B316="","",IFERROR(XLOOKUP(B316,Team!B:B,Team!D:D),""))</f>
      </c>
      <c r="G316">
        <f>IF(B316="","",E316+F316)</f>
      </c>
    </row>
    <row r="317">
      <c r="C317">
        <f>IF(B317="","",IFERROR(XLOOKUP(B317,Team!B:B,Team!A:A),""))</f>
      </c>
      <c r="D317">
        <f>IF(B317="","",IFERROR(XLOOKUP(B317,Team!B:B,Team!D:D),""))</f>
      </c>
      <c r="G317">
        <f>IF(B317="","",E317+F317)</f>
      </c>
    </row>
    <row r="318">
      <c r="C318">
        <f>IF(B318="","",IFERROR(XLOOKUP(B318,Team!B:B,Team!A:A),""))</f>
      </c>
      <c r="D318">
        <f>IF(B318="","",IFERROR(XLOOKUP(B318,Team!B:B,Team!D:D),""))</f>
      </c>
      <c r="G318">
        <f>IF(B318="","",E318+F318)</f>
      </c>
    </row>
    <row r="319">
      <c r="C319">
        <f>IF(B319="","",IFERROR(XLOOKUP(B319,Team!B:B,Team!A:A),""))</f>
      </c>
      <c r="D319">
        <f>IF(B319="","",IFERROR(XLOOKUP(B319,Team!B:B,Team!D:D),""))</f>
      </c>
      <c r="G319">
        <f>IF(B319="","",E319+F319)</f>
      </c>
    </row>
    <row r="320">
      <c r="C320">
        <f>IF(B320="","",IFERROR(XLOOKUP(B320,Team!B:B,Team!A:A),""))</f>
      </c>
      <c r="D320">
        <f>IF(B320="","",IFERROR(XLOOKUP(B320,Team!B:B,Team!D:D),""))</f>
      </c>
      <c r="G320">
        <f>IF(B320="","",E320+F320)</f>
      </c>
    </row>
    <row r="321">
      <c r="C321">
        <f>IF(B321="","",IFERROR(XLOOKUP(B321,Team!B:B,Team!A:A),""))</f>
      </c>
      <c r="D321">
        <f>IF(B321="","",IFERROR(XLOOKUP(B321,Team!B:B,Team!D:D),""))</f>
      </c>
      <c r="G321">
        <f>IF(B321="","",E321+F321)</f>
      </c>
    </row>
    <row r="322">
      <c r="C322">
        <f>IF(B322="","",IFERROR(XLOOKUP(B322,Team!B:B,Team!A:A),""))</f>
      </c>
      <c r="D322">
        <f>IF(B322="","",IFERROR(XLOOKUP(B322,Team!B:B,Team!D:D),""))</f>
      </c>
      <c r="G322">
        <f>IF(B322="","",E322+F322)</f>
      </c>
    </row>
    <row r="323">
      <c r="C323">
        <f>IF(B323="","",IFERROR(XLOOKUP(B323,Team!B:B,Team!A:A),""))</f>
      </c>
      <c r="D323">
        <f>IF(B323="","",IFERROR(XLOOKUP(B323,Team!B:B,Team!D:D),""))</f>
      </c>
      <c r="G323">
        <f>IF(B323="","",E323+F323)</f>
      </c>
    </row>
    <row r="324">
      <c r="C324">
        <f>IF(B324="","",IFERROR(XLOOKUP(B324,Team!B:B,Team!A:A),""))</f>
      </c>
      <c r="D324">
        <f>IF(B324="","",IFERROR(XLOOKUP(B324,Team!B:B,Team!D:D),""))</f>
      </c>
      <c r="G324">
        <f>IF(B324="","",E324+F324)</f>
      </c>
    </row>
    <row r="325">
      <c r="C325">
        <f>IF(B325="","",IFERROR(XLOOKUP(B325,Team!B:B,Team!A:A),""))</f>
      </c>
      <c r="D325">
        <f>IF(B325="","",IFERROR(XLOOKUP(B325,Team!B:B,Team!D:D),""))</f>
      </c>
      <c r="G325">
        <f>IF(B325="","",E325+F325)</f>
      </c>
    </row>
    <row r="326">
      <c r="C326">
        <f>IF(B326="","",IFERROR(XLOOKUP(B326,Team!B:B,Team!A:A),""))</f>
      </c>
      <c r="D326">
        <f>IF(B326="","",IFERROR(XLOOKUP(B326,Team!B:B,Team!D:D),""))</f>
      </c>
      <c r="G326">
        <f>IF(B326="","",E326+F326)</f>
      </c>
    </row>
    <row r="327">
      <c r="C327">
        <f>IF(B327="","",IFERROR(XLOOKUP(B327,Team!B:B,Team!A:A),""))</f>
      </c>
      <c r="D327">
        <f>IF(B327="","",IFERROR(XLOOKUP(B327,Team!B:B,Team!D:D),""))</f>
      </c>
      <c r="G327">
        <f>IF(B327="","",E327+F327)</f>
      </c>
    </row>
    <row r="328">
      <c r="C328">
        <f>IF(B328="","",IFERROR(XLOOKUP(B328,Team!B:B,Team!A:A),""))</f>
      </c>
      <c r="D328">
        <f>IF(B328="","",IFERROR(XLOOKUP(B328,Team!B:B,Team!D:D),""))</f>
      </c>
      <c r="G328">
        <f>IF(B328="","",E328+F328)</f>
      </c>
    </row>
    <row r="329">
      <c r="C329">
        <f>IF(B329="","",IFERROR(XLOOKUP(B329,Team!B:B,Team!A:A),""))</f>
      </c>
      <c r="D329">
        <f>IF(B329="","",IFERROR(XLOOKUP(B329,Team!B:B,Team!D:D),""))</f>
      </c>
      <c r="G329">
        <f>IF(B329="","",E329+F329)</f>
      </c>
    </row>
    <row r="330">
      <c r="C330">
        <f>IF(B330="","",IFERROR(XLOOKUP(B330,Team!B:B,Team!A:A),""))</f>
      </c>
      <c r="D330">
        <f>IF(B330="","",IFERROR(XLOOKUP(B330,Team!B:B,Team!D:D),""))</f>
      </c>
      <c r="G330">
        <f>IF(B330="","",E330+F330)</f>
      </c>
    </row>
    <row r="331">
      <c r="C331">
        <f>IF(B331="","",IFERROR(XLOOKUP(B331,Team!B:B,Team!A:A),""))</f>
      </c>
      <c r="D331">
        <f>IF(B331="","",IFERROR(XLOOKUP(B331,Team!B:B,Team!D:D),""))</f>
      </c>
      <c r="G331">
        <f>IF(B331="","",E331+F331)</f>
      </c>
    </row>
    <row r="332">
      <c r="C332">
        <f>IF(B332="","",IFERROR(XLOOKUP(B332,Team!B:B,Team!A:A),""))</f>
      </c>
      <c r="D332">
        <f>IF(B332="","",IFERROR(XLOOKUP(B332,Team!B:B,Team!D:D),""))</f>
      </c>
      <c r="G332">
        <f>IF(B332="","",E332+F332)</f>
      </c>
    </row>
    <row r="333">
      <c r="C333">
        <f>IF(B333="","",IFERROR(XLOOKUP(B333,Team!B:B,Team!A:A),""))</f>
      </c>
      <c r="D333">
        <f>IF(B333="","",IFERROR(XLOOKUP(B333,Team!B:B,Team!D:D),""))</f>
      </c>
      <c r="G333">
        <f>IF(B333="","",E333+F333)</f>
      </c>
    </row>
    <row r="334">
      <c r="C334">
        <f>IF(B334="","",IFERROR(XLOOKUP(B334,Team!B:B,Team!A:A),""))</f>
      </c>
      <c r="D334">
        <f>IF(B334="","",IFERROR(XLOOKUP(B334,Team!B:B,Team!D:D),""))</f>
      </c>
      <c r="G334">
        <f>IF(B334="","",E334+F334)</f>
      </c>
    </row>
    <row r="335">
      <c r="C335">
        <f>IF(B335="","",IFERROR(XLOOKUP(B335,Team!B:B,Team!A:A),""))</f>
      </c>
      <c r="D335">
        <f>IF(B335="","",IFERROR(XLOOKUP(B335,Team!B:B,Team!D:D),""))</f>
      </c>
      <c r="G335">
        <f>IF(B335="","",E335+F335)</f>
      </c>
    </row>
    <row r="336">
      <c r="C336">
        <f>IF(B336="","",IFERROR(XLOOKUP(B336,Team!B:B,Team!A:A),""))</f>
      </c>
      <c r="D336">
        <f>IF(B336="","",IFERROR(XLOOKUP(B336,Team!B:B,Team!D:D),""))</f>
      </c>
      <c r="G336">
        <f>IF(B336="","",E336+F336)</f>
      </c>
    </row>
    <row r="337">
      <c r="C337">
        <f>IF(B337="","",IFERROR(XLOOKUP(B337,Team!B:B,Team!A:A),""))</f>
      </c>
      <c r="D337">
        <f>IF(B337="","",IFERROR(XLOOKUP(B337,Team!B:B,Team!D:D),""))</f>
      </c>
      <c r="G337">
        <f>IF(B337="","",E337+F337)</f>
      </c>
    </row>
    <row r="338">
      <c r="C338">
        <f>IF(B338="","",IFERROR(XLOOKUP(B338,Team!B:B,Team!A:A),""))</f>
      </c>
      <c r="D338">
        <f>IF(B338="","",IFERROR(XLOOKUP(B338,Team!B:B,Team!D:D),""))</f>
      </c>
      <c r="G338">
        <f>IF(B338="","",E338+F338)</f>
      </c>
    </row>
    <row r="339">
      <c r="C339">
        <f>IF(B339="","",IFERROR(XLOOKUP(B339,Team!B:B,Team!A:A),""))</f>
      </c>
      <c r="D339">
        <f>IF(B339="","",IFERROR(XLOOKUP(B339,Team!B:B,Team!D:D),""))</f>
      </c>
      <c r="G339">
        <f>IF(B339="","",E339+F339)</f>
      </c>
    </row>
    <row r="340">
      <c r="C340">
        <f>IF(B340="","",IFERROR(XLOOKUP(B340,Team!B:B,Team!A:A),""))</f>
      </c>
      <c r="D340">
        <f>IF(B340="","",IFERROR(XLOOKUP(B340,Team!B:B,Team!D:D),""))</f>
      </c>
      <c r="G340">
        <f>IF(B340="","",E340+F340)</f>
      </c>
    </row>
    <row r="341">
      <c r="C341">
        <f>IF(B341="","",IFERROR(XLOOKUP(B341,Team!B:B,Team!A:A),""))</f>
      </c>
      <c r="D341">
        <f>IF(B341="","",IFERROR(XLOOKUP(B341,Team!B:B,Team!D:D),""))</f>
      </c>
      <c r="G341">
        <f>IF(B341="","",E341+F341)</f>
      </c>
    </row>
    <row r="342">
      <c r="C342">
        <f>IF(B342="","",IFERROR(XLOOKUP(B342,Team!B:B,Team!A:A),""))</f>
      </c>
      <c r="D342">
        <f>IF(B342="","",IFERROR(XLOOKUP(B342,Team!B:B,Team!D:D),""))</f>
      </c>
      <c r="G342">
        <f>IF(B342="","",E342+F342)</f>
      </c>
    </row>
    <row r="343">
      <c r="C343">
        <f>IF(B343="","",IFERROR(XLOOKUP(B343,Team!B:B,Team!A:A),""))</f>
      </c>
      <c r="D343">
        <f>IF(B343="","",IFERROR(XLOOKUP(B343,Team!B:B,Team!D:D),""))</f>
      </c>
      <c r="G343">
        <f>IF(B343="","",E343+F343)</f>
      </c>
    </row>
    <row r="344">
      <c r="C344">
        <f>IF(B344="","",IFERROR(XLOOKUP(B344,Team!B:B,Team!A:A),""))</f>
      </c>
      <c r="D344">
        <f>IF(B344="","",IFERROR(XLOOKUP(B344,Team!B:B,Team!D:D),""))</f>
      </c>
      <c r="G344">
        <f>IF(B344="","",E344+F344)</f>
      </c>
    </row>
    <row r="345">
      <c r="C345">
        <f>IF(B345="","",IFERROR(XLOOKUP(B345,Team!B:B,Team!A:A),""))</f>
      </c>
      <c r="D345">
        <f>IF(B345="","",IFERROR(XLOOKUP(B345,Team!B:B,Team!D:D),""))</f>
      </c>
      <c r="G345">
        <f>IF(B345="","",E345+F345)</f>
      </c>
    </row>
    <row r="346">
      <c r="C346">
        <f>IF(B346="","",IFERROR(XLOOKUP(B346,Team!B:B,Team!A:A),""))</f>
      </c>
      <c r="D346">
        <f>IF(B346="","",IFERROR(XLOOKUP(B346,Team!B:B,Team!D:D),""))</f>
      </c>
      <c r="G346">
        <f>IF(B346="","",E346+F346)</f>
      </c>
    </row>
    <row r="347">
      <c r="C347">
        <f>IF(B347="","",IFERROR(XLOOKUP(B347,Team!B:B,Team!A:A),""))</f>
      </c>
      <c r="D347">
        <f>IF(B347="","",IFERROR(XLOOKUP(B347,Team!B:B,Team!D:D),""))</f>
      </c>
      <c r="G347">
        <f>IF(B347="","",E347+F347)</f>
      </c>
    </row>
    <row r="348">
      <c r="C348">
        <f>IF(B348="","",IFERROR(XLOOKUP(B348,Team!B:B,Team!A:A),""))</f>
      </c>
      <c r="D348">
        <f>IF(B348="","",IFERROR(XLOOKUP(B348,Team!B:B,Team!D:D),""))</f>
      </c>
      <c r="G348">
        <f>IF(B348="","",E348+F348)</f>
      </c>
    </row>
    <row r="349">
      <c r="C349">
        <f>IF(B349="","",IFERROR(XLOOKUP(B349,Team!B:B,Team!A:A),""))</f>
      </c>
      <c r="D349">
        <f>IF(B349="","",IFERROR(XLOOKUP(B349,Team!B:B,Team!D:D),""))</f>
      </c>
      <c r="G349">
        <f>IF(B349="","",E349+F349)</f>
      </c>
    </row>
    <row r="350">
      <c r="C350">
        <f>IF(B350="","",IFERROR(XLOOKUP(B350,Team!B:B,Team!A:A),""))</f>
      </c>
      <c r="D350">
        <f>IF(B350="","",IFERROR(XLOOKUP(B350,Team!B:B,Team!D:D),""))</f>
      </c>
      <c r="G350">
        <f>IF(B350="","",E350+F350)</f>
      </c>
    </row>
    <row r="351">
      <c r="C351">
        <f>IF(B351="","",IFERROR(XLOOKUP(B351,Team!B:B,Team!A:A),""))</f>
      </c>
      <c r="D351">
        <f>IF(B351="","",IFERROR(XLOOKUP(B351,Team!B:B,Team!D:D),""))</f>
      </c>
      <c r="G351">
        <f>IF(B351="","",E351+F351)</f>
      </c>
    </row>
    <row r="352">
      <c r="C352">
        <f>IF(B352="","",IFERROR(XLOOKUP(B352,Team!B:B,Team!A:A),""))</f>
      </c>
      <c r="D352">
        <f>IF(B352="","",IFERROR(XLOOKUP(B352,Team!B:B,Team!D:D),""))</f>
      </c>
      <c r="G352">
        <f>IF(B352="","",E352+F352)</f>
      </c>
    </row>
    <row r="353">
      <c r="C353">
        <f>IF(B353="","",IFERROR(XLOOKUP(B353,Team!B:B,Team!A:A),""))</f>
      </c>
      <c r="D353">
        <f>IF(B353="","",IFERROR(XLOOKUP(B353,Team!B:B,Team!D:D),""))</f>
      </c>
      <c r="G353">
        <f>IF(B353="","",E353+F353)</f>
      </c>
    </row>
    <row r="354">
      <c r="C354">
        <f>IF(B354="","",IFERROR(XLOOKUP(B354,Team!B:B,Team!A:A),""))</f>
      </c>
      <c r="D354">
        <f>IF(B354="","",IFERROR(XLOOKUP(B354,Team!B:B,Team!D:D),""))</f>
      </c>
      <c r="G354">
        <f>IF(B354="","",E354+F354)</f>
      </c>
    </row>
    <row r="355">
      <c r="C355">
        <f>IF(B355="","",IFERROR(XLOOKUP(B355,Team!B:B,Team!A:A),""))</f>
      </c>
      <c r="D355">
        <f>IF(B355="","",IFERROR(XLOOKUP(B355,Team!B:B,Team!D:D),""))</f>
      </c>
      <c r="G355">
        <f>IF(B355="","",E355+F355)</f>
      </c>
    </row>
    <row r="356">
      <c r="C356">
        <f>IF(B356="","",IFERROR(XLOOKUP(B356,Team!B:B,Team!A:A),""))</f>
      </c>
      <c r="D356">
        <f>IF(B356="","",IFERROR(XLOOKUP(B356,Team!B:B,Team!D:D),""))</f>
      </c>
      <c r="G356">
        <f>IF(B356="","",E356+F356)</f>
      </c>
    </row>
    <row r="357">
      <c r="C357">
        <f>IF(B357="","",IFERROR(XLOOKUP(B357,Team!B:B,Team!A:A),""))</f>
      </c>
      <c r="D357">
        <f>IF(B357="","",IFERROR(XLOOKUP(B357,Team!B:B,Team!D:D),""))</f>
      </c>
      <c r="G357">
        <f>IF(B357="","",E357+F357)</f>
      </c>
    </row>
    <row r="358">
      <c r="C358">
        <f>IF(B358="","",IFERROR(XLOOKUP(B358,Team!B:B,Team!A:A),""))</f>
      </c>
      <c r="D358">
        <f>IF(B358="","",IFERROR(XLOOKUP(B358,Team!B:B,Team!D:D),""))</f>
      </c>
      <c r="G358">
        <f>IF(B358="","",E358+F358)</f>
      </c>
    </row>
    <row r="359">
      <c r="C359">
        <f>IF(B359="","",IFERROR(XLOOKUP(B359,Team!B:B,Team!A:A),""))</f>
      </c>
      <c r="D359">
        <f>IF(B359="","",IFERROR(XLOOKUP(B359,Team!B:B,Team!D:D),""))</f>
      </c>
      <c r="G359">
        <f>IF(B359="","",E359+F359)</f>
      </c>
    </row>
    <row r="360">
      <c r="C360">
        <f>IF(B360="","",IFERROR(XLOOKUP(B360,Team!B:B,Team!A:A),""))</f>
      </c>
      <c r="D360">
        <f>IF(B360="","",IFERROR(XLOOKUP(B360,Team!B:B,Team!D:D),""))</f>
      </c>
      <c r="G360">
        <f>IF(B360="","",E360+F360)</f>
      </c>
    </row>
    <row r="361">
      <c r="C361">
        <f>IF(B361="","",IFERROR(XLOOKUP(B361,Team!B:B,Team!A:A),""))</f>
      </c>
      <c r="D361">
        <f>IF(B361="","",IFERROR(XLOOKUP(B361,Team!B:B,Team!D:D),""))</f>
      </c>
      <c r="G361">
        <f>IF(B361="","",E361+F361)</f>
      </c>
    </row>
    <row r="362">
      <c r="C362">
        <f>IF(B362="","",IFERROR(XLOOKUP(B362,Team!B:B,Team!A:A),""))</f>
      </c>
      <c r="D362">
        <f>IF(B362="","",IFERROR(XLOOKUP(B362,Team!B:B,Team!D:D),""))</f>
      </c>
      <c r="G362">
        <f>IF(B362="","",E362+F362)</f>
      </c>
    </row>
    <row r="363">
      <c r="C363">
        <f>IF(B363="","",IFERROR(XLOOKUP(B363,Team!B:B,Team!A:A),""))</f>
      </c>
      <c r="D363">
        <f>IF(B363="","",IFERROR(XLOOKUP(B363,Team!B:B,Team!D:D),""))</f>
      </c>
      <c r="G363">
        <f>IF(B363="","",E363+F363)</f>
      </c>
    </row>
    <row r="364">
      <c r="C364">
        <f>IF(B364="","",IFERROR(XLOOKUP(B364,Team!B:B,Team!A:A),""))</f>
      </c>
      <c r="D364">
        <f>IF(B364="","",IFERROR(XLOOKUP(B364,Team!B:B,Team!D:D),""))</f>
      </c>
      <c r="G364">
        <f>IF(B364="","",E364+F364)</f>
      </c>
    </row>
    <row r="365">
      <c r="C365">
        <f>IF(B365="","",IFERROR(XLOOKUP(B365,Team!B:B,Team!A:A),""))</f>
      </c>
      <c r="D365">
        <f>IF(B365="","",IFERROR(XLOOKUP(B365,Team!B:B,Team!D:D),""))</f>
      </c>
      <c r="G365">
        <f>IF(B365="","",E365+F365)</f>
      </c>
    </row>
    <row r="366">
      <c r="C366">
        <f>IF(B366="","",IFERROR(XLOOKUP(B366,Team!B:B,Team!A:A),""))</f>
      </c>
      <c r="D366">
        <f>IF(B366="","",IFERROR(XLOOKUP(B366,Team!B:B,Team!D:D),""))</f>
      </c>
      <c r="G366">
        <f>IF(B366="","",E366+F366)</f>
      </c>
    </row>
    <row r="367">
      <c r="C367">
        <f>IF(B367="","",IFERROR(XLOOKUP(B367,Team!B:B,Team!A:A),""))</f>
      </c>
      <c r="D367">
        <f>IF(B367="","",IFERROR(XLOOKUP(B367,Team!B:B,Team!D:D),""))</f>
      </c>
      <c r="G367">
        <f>IF(B367="","",E367+F367)</f>
      </c>
    </row>
    <row r="368">
      <c r="C368">
        <f>IF(B368="","",IFERROR(XLOOKUP(B368,Team!B:B,Team!A:A),""))</f>
      </c>
      <c r="D368">
        <f>IF(B368="","",IFERROR(XLOOKUP(B368,Team!B:B,Team!D:D),""))</f>
      </c>
      <c r="G368">
        <f>IF(B368="","",E368+F368)</f>
      </c>
    </row>
    <row r="369">
      <c r="C369">
        <f>IF(B369="","",IFERROR(XLOOKUP(B369,Team!B:B,Team!A:A),""))</f>
      </c>
      <c r="D369">
        <f>IF(B369="","",IFERROR(XLOOKUP(B369,Team!B:B,Team!D:D),""))</f>
      </c>
      <c r="G369">
        <f>IF(B369="","",E369+F369)</f>
      </c>
    </row>
    <row r="370">
      <c r="C370">
        <f>IF(B370="","",IFERROR(XLOOKUP(B370,Team!B:B,Team!A:A),""))</f>
      </c>
      <c r="D370">
        <f>IF(B370="","",IFERROR(XLOOKUP(B370,Team!B:B,Team!D:D),""))</f>
      </c>
      <c r="G370">
        <f>IF(B370="","",E370+F370)</f>
      </c>
    </row>
    <row r="371">
      <c r="C371">
        <f>IF(B371="","",IFERROR(XLOOKUP(B371,Team!B:B,Team!A:A),""))</f>
      </c>
      <c r="D371">
        <f>IF(B371="","",IFERROR(XLOOKUP(B371,Team!B:B,Team!D:D),""))</f>
      </c>
      <c r="G371">
        <f>IF(B371="","",E371+F371)</f>
      </c>
    </row>
    <row r="372">
      <c r="C372">
        <f>IF(B372="","",IFERROR(XLOOKUP(B372,Team!B:B,Team!A:A),""))</f>
      </c>
      <c r="D372">
        <f>IF(B372="","",IFERROR(XLOOKUP(B372,Team!B:B,Team!D:D),""))</f>
      </c>
      <c r="G372">
        <f>IF(B372="","",E372+F372)</f>
      </c>
    </row>
    <row r="373">
      <c r="C373">
        <f>IF(B373="","",IFERROR(XLOOKUP(B373,Team!B:B,Team!A:A),""))</f>
      </c>
      <c r="D373">
        <f>IF(B373="","",IFERROR(XLOOKUP(B373,Team!B:B,Team!D:D),""))</f>
      </c>
      <c r="G373">
        <f>IF(B373="","",E373+F373)</f>
      </c>
    </row>
    <row r="374">
      <c r="C374">
        <f>IF(B374="","",IFERROR(XLOOKUP(B374,Team!B:B,Team!A:A),""))</f>
      </c>
      <c r="D374">
        <f>IF(B374="","",IFERROR(XLOOKUP(B374,Team!B:B,Team!D:D),""))</f>
      </c>
      <c r="G374">
        <f>IF(B374="","",E374+F374)</f>
      </c>
    </row>
    <row r="375">
      <c r="C375">
        <f>IF(B375="","",IFERROR(XLOOKUP(B375,Team!B:B,Team!A:A),""))</f>
      </c>
      <c r="D375">
        <f>IF(B375="","",IFERROR(XLOOKUP(B375,Team!B:B,Team!D:D),""))</f>
      </c>
      <c r="G375">
        <f>IF(B375="","",E375+F375)</f>
      </c>
    </row>
    <row r="376">
      <c r="C376">
        <f>IF(B376="","",IFERROR(XLOOKUP(B376,Team!B:B,Team!A:A),""))</f>
      </c>
      <c r="D376">
        <f>IF(B376="","",IFERROR(XLOOKUP(B376,Team!B:B,Team!D:D),""))</f>
      </c>
      <c r="G376">
        <f>IF(B376="","",E376+F376)</f>
      </c>
    </row>
    <row r="377">
      <c r="C377">
        <f>IF(B377="","",IFERROR(XLOOKUP(B377,Team!B:B,Team!A:A),""))</f>
      </c>
      <c r="D377">
        <f>IF(B377="","",IFERROR(XLOOKUP(B377,Team!B:B,Team!D:D),""))</f>
      </c>
      <c r="G377">
        <f>IF(B377="","",E377+F377)</f>
      </c>
    </row>
    <row r="378">
      <c r="C378">
        <f>IF(B378="","",IFERROR(XLOOKUP(B378,Team!B:B,Team!A:A),""))</f>
      </c>
      <c r="D378">
        <f>IF(B378="","",IFERROR(XLOOKUP(B378,Team!B:B,Team!D:D),""))</f>
      </c>
      <c r="G378">
        <f>IF(B378="","",E378+F378)</f>
      </c>
    </row>
    <row r="379">
      <c r="C379">
        <f>IF(B379="","",IFERROR(XLOOKUP(B379,Team!B:B,Team!A:A),""))</f>
      </c>
      <c r="D379">
        <f>IF(B379="","",IFERROR(XLOOKUP(B379,Team!B:B,Team!D:D),""))</f>
      </c>
      <c r="G379">
        <f>IF(B379="","",E379+F379)</f>
      </c>
    </row>
    <row r="380">
      <c r="C380">
        <f>IF(B380="","",IFERROR(XLOOKUP(B380,Team!B:B,Team!A:A),""))</f>
      </c>
      <c r="D380">
        <f>IF(B380="","",IFERROR(XLOOKUP(B380,Team!B:B,Team!D:D),""))</f>
      </c>
      <c r="G380">
        <f>IF(B380="","",E380+F380)</f>
      </c>
    </row>
    <row r="381">
      <c r="C381">
        <f>IF(B381="","",IFERROR(XLOOKUP(B381,Team!B:B,Team!A:A),""))</f>
      </c>
      <c r="D381">
        <f>IF(B381="","",IFERROR(XLOOKUP(B381,Team!B:B,Team!D:D),""))</f>
      </c>
      <c r="G381">
        <f>IF(B381="","",E381+F381)</f>
      </c>
    </row>
    <row r="382">
      <c r="C382">
        <f>IF(B382="","",IFERROR(XLOOKUP(B382,Team!B:B,Team!A:A),""))</f>
      </c>
      <c r="D382">
        <f>IF(B382="","",IFERROR(XLOOKUP(B382,Team!B:B,Team!D:D),""))</f>
      </c>
      <c r="G382">
        <f>IF(B382="","",E382+F382)</f>
      </c>
    </row>
    <row r="383">
      <c r="C383">
        <f>IF(B383="","",IFERROR(XLOOKUP(B383,Team!B:B,Team!A:A),""))</f>
      </c>
      <c r="D383">
        <f>IF(B383="","",IFERROR(XLOOKUP(B383,Team!B:B,Team!D:D),""))</f>
      </c>
      <c r="G383">
        <f>IF(B383="","",E383+F383)</f>
      </c>
    </row>
    <row r="384">
      <c r="C384">
        <f>IF(B384="","",IFERROR(XLOOKUP(B384,Team!B:B,Team!A:A),""))</f>
      </c>
      <c r="D384">
        <f>IF(B384="","",IFERROR(XLOOKUP(B384,Team!B:B,Team!D:D),""))</f>
      </c>
      <c r="G384">
        <f>IF(B384="","",E384+F384)</f>
      </c>
    </row>
    <row r="385">
      <c r="C385">
        <f>IF(B385="","",IFERROR(XLOOKUP(B385,Team!B:B,Team!A:A),""))</f>
      </c>
      <c r="D385">
        <f>IF(B385="","",IFERROR(XLOOKUP(B385,Team!B:B,Team!D:D),""))</f>
      </c>
      <c r="G385">
        <f>IF(B385="","",E385+F385)</f>
      </c>
    </row>
    <row r="386">
      <c r="C386">
        <f>IF(B386="","",IFERROR(XLOOKUP(B386,Team!B:B,Team!A:A),""))</f>
      </c>
      <c r="D386">
        <f>IF(B386="","",IFERROR(XLOOKUP(B386,Team!B:B,Team!D:D),""))</f>
      </c>
      <c r="G386">
        <f>IF(B386="","",E386+F386)</f>
      </c>
    </row>
    <row r="387">
      <c r="C387">
        <f>IF(B387="","",IFERROR(XLOOKUP(B387,Team!B:B,Team!A:A),""))</f>
      </c>
      <c r="D387">
        <f>IF(B387="","",IFERROR(XLOOKUP(B387,Team!B:B,Team!D:D),""))</f>
      </c>
      <c r="G387">
        <f>IF(B387="","",E387+F387)</f>
      </c>
    </row>
    <row r="388">
      <c r="C388">
        <f>IF(B388="","",IFERROR(XLOOKUP(B388,Team!B:B,Team!A:A),""))</f>
      </c>
      <c r="D388">
        <f>IF(B388="","",IFERROR(XLOOKUP(B388,Team!B:B,Team!D:D),""))</f>
      </c>
      <c r="G388">
        <f>IF(B388="","",E388+F388)</f>
      </c>
    </row>
    <row r="389">
      <c r="C389">
        <f>IF(B389="","",IFERROR(XLOOKUP(B389,Team!B:B,Team!A:A),""))</f>
      </c>
      <c r="D389">
        <f>IF(B389="","",IFERROR(XLOOKUP(B389,Team!B:B,Team!D:D),""))</f>
      </c>
      <c r="G389">
        <f>IF(B389="","",E389+F389)</f>
      </c>
    </row>
    <row r="390">
      <c r="C390">
        <f>IF(B390="","",IFERROR(XLOOKUP(B390,Team!B:B,Team!A:A),""))</f>
      </c>
      <c r="D390">
        <f>IF(B390="","",IFERROR(XLOOKUP(B390,Team!B:B,Team!D:D),""))</f>
      </c>
      <c r="G390">
        <f>IF(B390="","",E390+F390)</f>
      </c>
    </row>
    <row r="391">
      <c r="C391">
        <f>IF(B391="","",IFERROR(XLOOKUP(B391,Team!B:B,Team!A:A),""))</f>
      </c>
      <c r="D391">
        <f>IF(B391="","",IFERROR(XLOOKUP(B391,Team!B:B,Team!D:D),""))</f>
      </c>
      <c r="G391">
        <f>IF(B391="","",E391+F391)</f>
      </c>
    </row>
    <row r="392">
      <c r="C392">
        <f>IF(B392="","",IFERROR(XLOOKUP(B392,Team!B:B,Team!A:A),""))</f>
      </c>
      <c r="D392">
        <f>IF(B392="","",IFERROR(XLOOKUP(B392,Team!B:B,Team!D:D),""))</f>
      </c>
      <c r="G392">
        <f>IF(B392="","",E392+F392)</f>
      </c>
    </row>
    <row r="393">
      <c r="C393">
        <f>IF(B393="","",IFERROR(XLOOKUP(B393,Team!B:B,Team!A:A),""))</f>
      </c>
      <c r="D393">
        <f>IF(B393="","",IFERROR(XLOOKUP(B393,Team!B:B,Team!D:D),""))</f>
      </c>
      <c r="G393">
        <f>IF(B393="","",E393+F393)</f>
      </c>
    </row>
    <row r="394">
      <c r="C394">
        <f>IF(B394="","",IFERROR(XLOOKUP(B394,Team!B:B,Team!A:A),""))</f>
      </c>
      <c r="D394">
        <f>IF(B394="","",IFERROR(XLOOKUP(B394,Team!B:B,Team!D:D),""))</f>
      </c>
      <c r="G394">
        <f>IF(B394="","",E394+F394)</f>
      </c>
    </row>
    <row r="395">
      <c r="C395">
        <f>IF(B395="","",IFERROR(XLOOKUP(B395,Team!B:B,Team!A:A),""))</f>
      </c>
      <c r="D395">
        <f>IF(B395="","",IFERROR(XLOOKUP(B395,Team!B:B,Team!D:D),""))</f>
      </c>
      <c r="G395">
        <f>IF(B395="","",E395+F395)</f>
      </c>
    </row>
    <row r="396">
      <c r="C396">
        <f>IF(B396="","",IFERROR(XLOOKUP(B396,Team!B:B,Team!A:A),""))</f>
      </c>
      <c r="D396">
        <f>IF(B396="","",IFERROR(XLOOKUP(B396,Team!B:B,Team!D:D),""))</f>
      </c>
      <c r="G396">
        <f>IF(B396="","",E396+F396)</f>
      </c>
    </row>
    <row r="397">
      <c r="C397">
        <f>IF(B397="","",IFERROR(XLOOKUP(B397,Team!B:B,Team!A:A),""))</f>
      </c>
      <c r="D397">
        <f>IF(B397="","",IFERROR(XLOOKUP(B397,Team!B:B,Team!D:D),""))</f>
      </c>
      <c r="G397">
        <f>IF(B397="","",E397+F397)</f>
      </c>
    </row>
    <row r="398">
      <c r="C398">
        <f>IF(B398="","",IFERROR(XLOOKUP(B398,Team!B:B,Team!A:A),""))</f>
      </c>
      <c r="D398">
        <f>IF(B398="","",IFERROR(XLOOKUP(B398,Team!B:B,Team!D:D),""))</f>
      </c>
      <c r="G398">
        <f>IF(B398="","",E398+F398)</f>
      </c>
    </row>
    <row r="399">
      <c r="C399">
        <f>IF(B399="","",IFERROR(XLOOKUP(B399,Team!B:B,Team!A:A),""))</f>
      </c>
      <c r="D399">
        <f>IF(B399="","",IFERROR(XLOOKUP(B399,Team!B:B,Team!D:D),""))</f>
      </c>
      <c r="G399">
        <f>IF(B399="","",E399+F399)</f>
      </c>
    </row>
    <row r="400">
      <c r="C400">
        <f>IF(B400="","",IFERROR(XLOOKUP(B400,Team!B:B,Team!A:A),""))</f>
      </c>
      <c r="D400">
        <f>IF(B400="","",IFERROR(XLOOKUP(B400,Team!B:B,Team!D:D),""))</f>
      </c>
      <c r="G400">
        <f>IF(B400="","",E400+F400)</f>
      </c>
    </row>
    <row r="401">
      <c r="C401">
        <f>IF(B401="","",IFERROR(XLOOKUP(B401,Team!B:B,Team!A:A),""))</f>
      </c>
      <c r="D401">
        <f>IF(B401="","",IFERROR(XLOOKUP(B401,Team!B:B,Team!D:D),""))</f>
      </c>
      <c r="G401">
        <f>IF(B401="","",E401+F401)</f>
      </c>
    </row>
    <row r="402">
      <c r="C402">
        <f>IF(B402="","",IFERROR(XLOOKUP(B402,Team!B:B,Team!A:A),""))</f>
      </c>
      <c r="D402">
        <f>IF(B402="","",IFERROR(XLOOKUP(B402,Team!B:B,Team!D:D),""))</f>
      </c>
      <c r="G402">
        <f>IF(B402="","",E402+F402)</f>
      </c>
    </row>
    <row r="403">
      <c r="C403">
        <f>IF(B403="","",IFERROR(XLOOKUP(B403,Team!B:B,Team!A:A),""))</f>
      </c>
      <c r="D403">
        <f>IF(B403="","",IFERROR(XLOOKUP(B403,Team!B:B,Team!D:D),""))</f>
      </c>
      <c r="G403">
        <f>IF(B403="","",E403+F403)</f>
      </c>
    </row>
    <row r="404">
      <c r="C404">
        <f>IF(B404="","",IFERROR(XLOOKUP(B404,Team!B:B,Team!A:A),""))</f>
      </c>
      <c r="D404">
        <f>IF(B404="","",IFERROR(XLOOKUP(B404,Team!B:B,Team!D:D),""))</f>
      </c>
      <c r="G404">
        <f>IF(B404="","",E404+F404)</f>
      </c>
    </row>
    <row r="405">
      <c r="C405">
        <f>IF(B405="","",IFERROR(XLOOKUP(B405,Team!B:B,Team!A:A),""))</f>
      </c>
      <c r="D405">
        <f>IF(B405="","",IFERROR(XLOOKUP(B405,Team!B:B,Team!D:D),""))</f>
      </c>
      <c r="G405">
        <f>IF(B405="","",E405+F405)</f>
      </c>
    </row>
    <row r="406">
      <c r="C406">
        <f>IF(B406="","",IFERROR(XLOOKUP(B406,Team!B:B,Team!A:A),""))</f>
      </c>
      <c r="D406">
        <f>IF(B406="","",IFERROR(XLOOKUP(B406,Team!B:B,Team!D:D),""))</f>
      </c>
      <c r="G406">
        <f>IF(B406="","",E406+F406)</f>
      </c>
    </row>
    <row r="407">
      <c r="C407">
        <f>IF(B407="","",IFERROR(XLOOKUP(B407,Team!B:B,Team!A:A),""))</f>
      </c>
      <c r="D407">
        <f>IF(B407="","",IFERROR(XLOOKUP(B407,Team!B:B,Team!D:D),""))</f>
      </c>
      <c r="G407">
        <f>IF(B407="","",E407+F407)</f>
      </c>
    </row>
    <row r="408">
      <c r="C408">
        <f>IF(B408="","",IFERROR(XLOOKUP(B408,Team!B:B,Team!A:A),""))</f>
      </c>
      <c r="D408">
        <f>IF(B408="","",IFERROR(XLOOKUP(B408,Team!B:B,Team!D:D),""))</f>
      </c>
      <c r="G408">
        <f>IF(B408="","",E408+F408)</f>
      </c>
    </row>
    <row r="409">
      <c r="C409">
        <f>IF(B409="","",IFERROR(XLOOKUP(B409,Team!B:B,Team!A:A),""))</f>
      </c>
      <c r="D409">
        <f>IF(B409="","",IFERROR(XLOOKUP(B409,Team!B:B,Team!D:D),""))</f>
      </c>
      <c r="G409">
        <f>IF(B409="","",E409+F409)</f>
      </c>
    </row>
    <row r="410">
      <c r="C410">
        <f>IF(B410="","",IFERROR(XLOOKUP(B410,Team!B:B,Team!A:A),""))</f>
      </c>
      <c r="D410">
        <f>IF(B410="","",IFERROR(XLOOKUP(B410,Team!B:B,Team!D:D),""))</f>
      </c>
      <c r="G410">
        <f>IF(B410="","",E410+F410)</f>
      </c>
    </row>
    <row r="411">
      <c r="C411">
        <f>IF(B411="","",IFERROR(XLOOKUP(B411,Team!B:B,Team!A:A),""))</f>
      </c>
      <c r="D411">
        <f>IF(B411="","",IFERROR(XLOOKUP(B411,Team!B:B,Team!D:D),""))</f>
      </c>
      <c r="G411">
        <f>IF(B411="","",E411+F411)</f>
      </c>
    </row>
    <row r="412">
      <c r="C412">
        <f>IF(B412="","",IFERROR(XLOOKUP(B412,Team!B:B,Team!A:A),""))</f>
      </c>
      <c r="D412">
        <f>IF(B412="","",IFERROR(XLOOKUP(B412,Team!B:B,Team!D:D),""))</f>
      </c>
      <c r="G412">
        <f>IF(B412="","",E412+F412)</f>
      </c>
    </row>
    <row r="413">
      <c r="C413">
        <f>IF(B413="","",IFERROR(XLOOKUP(B413,Team!B:B,Team!A:A),""))</f>
      </c>
      <c r="D413">
        <f>IF(B413="","",IFERROR(XLOOKUP(B413,Team!B:B,Team!D:D),""))</f>
      </c>
      <c r="G413">
        <f>IF(B413="","",E413+F413)</f>
      </c>
    </row>
    <row r="414">
      <c r="C414">
        <f>IF(B414="","",IFERROR(XLOOKUP(B414,Team!B:B,Team!A:A),""))</f>
      </c>
      <c r="D414">
        <f>IF(B414="","",IFERROR(XLOOKUP(B414,Team!B:B,Team!D:D),""))</f>
      </c>
      <c r="G414">
        <f>IF(B414="","",E414+F414)</f>
      </c>
    </row>
    <row r="415">
      <c r="C415">
        <f>IF(B415="","",IFERROR(XLOOKUP(B415,Team!B:B,Team!A:A),""))</f>
      </c>
      <c r="D415">
        <f>IF(B415="","",IFERROR(XLOOKUP(B415,Team!B:B,Team!D:D),""))</f>
      </c>
      <c r="G415">
        <f>IF(B415="","",E415+F415)</f>
      </c>
    </row>
    <row r="416">
      <c r="C416">
        <f>IF(B416="","",IFERROR(XLOOKUP(B416,Team!B:B,Team!A:A),""))</f>
      </c>
      <c r="D416">
        <f>IF(B416="","",IFERROR(XLOOKUP(B416,Team!B:B,Team!D:D),""))</f>
      </c>
      <c r="G416">
        <f>IF(B416="","",E416+F416)</f>
      </c>
    </row>
    <row r="417">
      <c r="C417">
        <f>IF(B417="","",IFERROR(XLOOKUP(B417,Team!B:B,Team!A:A),""))</f>
      </c>
      <c r="D417">
        <f>IF(B417="","",IFERROR(XLOOKUP(B417,Team!B:B,Team!D:D),""))</f>
      </c>
      <c r="G417">
        <f>IF(B417="","",E417+F417)</f>
      </c>
    </row>
    <row r="418">
      <c r="C418">
        <f>IF(B418="","",IFERROR(XLOOKUP(B418,Team!B:B,Team!A:A),""))</f>
      </c>
      <c r="D418">
        <f>IF(B418="","",IFERROR(XLOOKUP(B418,Team!B:B,Team!D:D),""))</f>
      </c>
      <c r="G418">
        <f>IF(B418="","",E418+F418)</f>
      </c>
    </row>
    <row r="419">
      <c r="C419">
        <f>IF(B419="","",IFERROR(XLOOKUP(B419,Team!B:B,Team!A:A),""))</f>
      </c>
      <c r="D419">
        <f>IF(B419="","",IFERROR(XLOOKUP(B419,Team!B:B,Team!D:D),""))</f>
      </c>
      <c r="G419">
        <f>IF(B419="","",E419+F419)</f>
      </c>
    </row>
    <row r="420">
      <c r="C420">
        <f>IF(B420="","",IFERROR(XLOOKUP(B420,Team!B:B,Team!A:A),""))</f>
      </c>
      <c r="D420">
        <f>IF(B420="","",IFERROR(XLOOKUP(B420,Team!B:B,Team!D:D),""))</f>
      </c>
      <c r="G420">
        <f>IF(B420="","",E420+F420)</f>
      </c>
    </row>
    <row r="421">
      <c r="C421">
        <f>IF(B421="","",IFERROR(XLOOKUP(B421,Team!B:B,Team!A:A),""))</f>
      </c>
      <c r="D421">
        <f>IF(B421="","",IFERROR(XLOOKUP(B421,Team!B:B,Team!D:D),""))</f>
      </c>
      <c r="G421">
        <f>IF(B421="","",E421+F421)</f>
      </c>
    </row>
    <row r="422">
      <c r="C422">
        <f>IF(B422="","",IFERROR(XLOOKUP(B422,Team!B:B,Team!A:A),""))</f>
      </c>
      <c r="D422">
        <f>IF(B422="","",IFERROR(XLOOKUP(B422,Team!B:B,Team!D:D),""))</f>
      </c>
      <c r="G422">
        <f>IF(B422="","",E422+F422)</f>
      </c>
    </row>
    <row r="423">
      <c r="C423">
        <f>IF(B423="","",IFERROR(XLOOKUP(B423,Team!B:B,Team!A:A),""))</f>
      </c>
      <c r="D423">
        <f>IF(B423="","",IFERROR(XLOOKUP(B423,Team!B:B,Team!D:D),""))</f>
      </c>
      <c r="G423">
        <f>IF(B423="","",E423+F423)</f>
      </c>
    </row>
    <row r="424">
      <c r="C424">
        <f>IF(B424="","",IFERROR(XLOOKUP(B424,Team!B:B,Team!A:A),""))</f>
      </c>
      <c r="D424">
        <f>IF(B424="","",IFERROR(XLOOKUP(B424,Team!B:B,Team!D:D),""))</f>
      </c>
      <c r="G424">
        <f>IF(B424="","",E424+F424)</f>
      </c>
    </row>
    <row r="425">
      <c r="C425">
        <f>IF(B425="","",IFERROR(XLOOKUP(B425,Team!B:B,Team!A:A),""))</f>
      </c>
      <c r="D425">
        <f>IF(B425="","",IFERROR(XLOOKUP(B425,Team!B:B,Team!D:D),""))</f>
      </c>
      <c r="G425">
        <f>IF(B425="","",E425+F425)</f>
      </c>
    </row>
    <row r="426">
      <c r="C426">
        <f>IF(B426="","",IFERROR(XLOOKUP(B426,Team!B:B,Team!A:A),""))</f>
      </c>
      <c r="D426">
        <f>IF(B426="","",IFERROR(XLOOKUP(B426,Team!B:B,Team!D:D),""))</f>
      </c>
      <c r="G426">
        <f>IF(B426="","",E426+F426)</f>
      </c>
    </row>
    <row r="427">
      <c r="C427">
        <f>IF(B427="","",IFERROR(XLOOKUP(B427,Team!B:B,Team!A:A),""))</f>
      </c>
      <c r="D427">
        <f>IF(B427="","",IFERROR(XLOOKUP(B427,Team!B:B,Team!D:D),""))</f>
      </c>
      <c r="G427">
        <f>IF(B427="","",E427+F427)</f>
      </c>
    </row>
    <row r="428">
      <c r="C428">
        <f>IF(B428="","",IFERROR(XLOOKUP(B428,Team!B:B,Team!A:A),""))</f>
      </c>
      <c r="D428">
        <f>IF(B428="","",IFERROR(XLOOKUP(B428,Team!B:B,Team!D:D),""))</f>
      </c>
      <c r="G428">
        <f>IF(B428="","",E428+F428)</f>
      </c>
    </row>
    <row r="429">
      <c r="C429">
        <f>IF(B429="","",IFERROR(XLOOKUP(B429,Team!B:B,Team!A:A),""))</f>
      </c>
      <c r="D429">
        <f>IF(B429="","",IFERROR(XLOOKUP(B429,Team!B:B,Team!D:D),""))</f>
      </c>
      <c r="G429">
        <f>IF(B429="","",E429+F429)</f>
      </c>
    </row>
    <row r="430">
      <c r="C430">
        <f>IF(B430="","",IFERROR(XLOOKUP(B430,Team!B:B,Team!A:A),""))</f>
      </c>
      <c r="D430">
        <f>IF(B430="","",IFERROR(XLOOKUP(B430,Team!B:B,Team!D:D),""))</f>
      </c>
      <c r="G430">
        <f>IF(B430="","",E430+F430)</f>
      </c>
    </row>
    <row r="431">
      <c r="C431">
        <f>IF(B431="","",IFERROR(XLOOKUP(B431,Team!B:B,Team!A:A),""))</f>
      </c>
      <c r="D431">
        <f>IF(B431="","",IFERROR(XLOOKUP(B431,Team!B:B,Team!D:D),""))</f>
      </c>
      <c r="G431">
        <f>IF(B431="","",E431+F431)</f>
      </c>
    </row>
    <row r="432">
      <c r="C432">
        <f>IF(B432="","",IFERROR(XLOOKUP(B432,Team!B:B,Team!A:A),""))</f>
      </c>
      <c r="D432">
        <f>IF(B432="","",IFERROR(XLOOKUP(B432,Team!B:B,Team!D:D),""))</f>
      </c>
      <c r="G432">
        <f>IF(B432="","",E432+F432)</f>
      </c>
    </row>
    <row r="433">
      <c r="C433">
        <f>IF(B433="","",IFERROR(XLOOKUP(B433,Team!B:B,Team!A:A),""))</f>
      </c>
      <c r="D433">
        <f>IF(B433="","",IFERROR(XLOOKUP(B433,Team!B:B,Team!D:D),""))</f>
      </c>
      <c r="G433">
        <f>IF(B433="","",E433+F433)</f>
      </c>
    </row>
    <row r="434">
      <c r="C434">
        <f>IF(B434="","",IFERROR(XLOOKUP(B434,Team!B:B,Team!A:A),""))</f>
      </c>
      <c r="D434">
        <f>IF(B434="","",IFERROR(XLOOKUP(B434,Team!B:B,Team!D:D),""))</f>
      </c>
      <c r="G434">
        <f>IF(B434="","",E434+F434)</f>
      </c>
    </row>
    <row r="435">
      <c r="C435">
        <f>IF(B435="","",IFERROR(XLOOKUP(B435,Team!B:B,Team!A:A),""))</f>
      </c>
      <c r="D435">
        <f>IF(B435="","",IFERROR(XLOOKUP(B435,Team!B:B,Team!D:D),""))</f>
      </c>
      <c r="G435">
        <f>IF(B435="","",E435+F435)</f>
      </c>
    </row>
    <row r="436">
      <c r="C436">
        <f>IF(B436="","",IFERROR(XLOOKUP(B436,Team!B:B,Team!A:A),""))</f>
      </c>
      <c r="D436">
        <f>IF(B436="","",IFERROR(XLOOKUP(B436,Team!B:B,Team!D:D),""))</f>
      </c>
      <c r="G436">
        <f>IF(B436="","",E436+F436)</f>
      </c>
    </row>
    <row r="437">
      <c r="C437">
        <f>IF(B437="","",IFERROR(XLOOKUP(B437,Team!B:B,Team!A:A),""))</f>
      </c>
      <c r="D437">
        <f>IF(B437="","",IFERROR(XLOOKUP(B437,Team!B:B,Team!D:D),""))</f>
      </c>
      <c r="G437">
        <f>IF(B437="","",E437+F437)</f>
      </c>
    </row>
    <row r="438">
      <c r="C438">
        <f>IF(B438="","",IFERROR(XLOOKUP(B438,Team!B:B,Team!A:A),""))</f>
      </c>
      <c r="D438">
        <f>IF(B438="","",IFERROR(XLOOKUP(B438,Team!B:B,Team!D:D),""))</f>
      </c>
      <c r="G438">
        <f>IF(B438="","",E438+F438)</f>
      </c>
    </row>
    <row r="439">
      <c r="C439">
        <f>IF(B439="","",IFERROR(XLOOKUP(B439,Team!B:B,Team!A:A),""))</f>
      </c>
      <c r="D439">
        <f>IF(B439="","",IFERROR(XLOOKUP(B439,Team!B:B,Team!D:D),""))</f>
      </c>
      <c r="G439">
        <f>IF(B439="","",E439+F439)</f>
      </c>
    </row>
    <row r="440">
      <c r="C440">
        <f>IF(B440="","",IFERROR(XLOOKUP(B440,Team!B:B,Team!A:A),""))</f>
      </c>
      <c r="D440">
        <f>IF(B440="","",IFERROR(XLOOKUP(B440,Team!B:B,Team!D:D),""))</f>
      </c>
      <c r="G440">
        <f>IF(B440="","",E440+F440)</f>
      </c>
    </row>
    <row r="441">
      <c r="C441">
        <f>IF(B441="","",IFERROR(XLOOKUP(B441,Team!B:B,Team!A:A),""))</f>
      </c>
      <c r="D441">
        <f>IF(B441="","",IFERROR(XLOOKUP(B441,Team!B:B,Team!D:D),""))</f>
      </c>
      <c r="G441">
        <f>IF(B441="","",E441+F441)</f>
      </c>
    </row>
    <row r="442">
      <c r="C442">
        <f>IF(B442="","",IFERROR(XLOOKUP(B442,Team!B:B,Team!A:A),""))</f>
      </c>
      <c r="D442">
        <f>IF(B442="","",IFERROR(XLOOKUP(B442,Team!B:B,Team!D:D),""))</f>
      </c>
      <c r="G442">
        <f>IF(B442="","",E442+F442)</f>
      </c>
    </row>
    <row r="443">
      <c r="C443">
        <f>IF(B443="","",IFERROR(XLOOKUP(B443,Team!B:B,Team!A:A),""))</f>
      </c>
      <c r="D443">
        <f>IF(B443="","",IFERROR(XLOOKUP(B443,Team!B:B,Team!D:D),""))</f>
      </c>
      <c r="G443">
        <f>IF(B443="","",E443+F443)</f>
      </c>
    </row>
    <row r="444">
      <c r="C444">
        <f>IF(B444="","",IFERROR(XLOOKUP(B444,Team!B:B,Team!A:A),""))</f>
      </c>
      <c r="D444">
        <f>IF(B444="","",IFERROR(XLOOKUP(B444,Team!B:B,Team!D:D),""))</f>
      </c>
      <c r="G444">
        <f>IF(B444="","",E444+F444)</f>
      </c>
    </row>
    <row r="445">
      <c r="C445">
        <f>IF(B445="","",IFERROR(XLOOKUP(B445,Team!B:B,Team!A:A),""))</f>
      </c>
      <c r="D445">
        <f>IF(B445="","",IFERROR(XLOOKUP(B445,Team!B:B,Team!D:D),""))</f>
      </c>
      <c r="G445">
        <f>IF(B445="","",E445+F445)</f>
      </c>
    </row>
    <row r="446">
      <c r="C446">
        <f>IF(B446="","",IFERROR(XLOOKUP(B446,Team!B:B,Team!A:A),""))</f>
      </c>
      <c r="D446">
        <f>IF(B446="","",IFERROR(XLOOKUP(B446,Team!B:B,Team!D:D),""))</f>
      </c>
      <c r="G446">
        <f>IF(B446="","",E446+F446)</f>
      </c>
    </row>
    <row r="447">
      <c r="C447">
        <f>IF(B447="","",IFERROR(XLOOKUP(B447,Team!B:B,Team!A:A),""))</f>
      </c>
      <c r="D447">
        <f>IF(B447="","",IFERROR(XLOOKUP(B447,Team!B:B,Team!D:D),""))</f>
      </c>
      <c r="G447">
        <f>IF(B447="","",E447+F447)</f>
      </c>
    </row>
    <row r="448">
      <c r="C448">
        <f>IF(B448="","",IFERROR(XLOOKUP(B448,Team!B:B,Team!A:A),""))</f>
      </c>
      <c r="D448">
        <f>IF(B448="","",IFERROR(XLOOKUP(B448,Team!B:B,Team!D:D),""))</f>
      </c>
      <c r="G448">
        <f>IF(B448="","",E448+F448)</f>
      </c>
    </row>
    <row r="449">
      <c r="C449">
        <f>IF(B449="","",IFERROR(XLOOKUP(B449,Team!B:B,Team!A:A),""))</f>
      </c>
      <c r="D449">
        <f>IF(B449="","",IFERROR(XLOOKUP(B449,Team!B:B,Team!D:D),""))</f>
      </c>
      <c r="G449">
        <f>IF(B449="","",E449+F449)</f>
      </c>
    </row>
    <row r="450">
      <c r="C450">
        <f>IF(B450="","",IFERROR(XLOOKUP(B450,Team!B:B,Team!A:A),""))</f>
      </c>
      <c r="D450">
        <f>IF(B450="","",IFERROR(XLOOKUP(B450,Team!B:B,Team!D:D),""))</f>
      </c>
      <c r="G450">
        <f>IF(B450="","",E450+F450)</f>
      </c>
    </row>
    <row r="451">
      <c r="C451">
        <f>IF(B451="","",IFERROR(XLOOKUP(B451,Team!B:B,Team!A:A),""))</f>
      </c>
      <c r="D451">
        <f>IF(B451="","",IFERROR(XLOOKUP(B451,Team!B:B,Team!D:D),""))</f>
      </c>
      <c r="G451">
        <f>IF(B451="","",E451+F451)</f>
      </c>
    </row>
    <row r="452">
      <c r="C452">
        <f>IF(B452="","",IFERROR(XLOOKUP(B452,Team!B:B,Team!A:A),""))</f>
      </c>
      <c r="D452">
        <f>IF(B452="","",IFERROR(XLOOKUP(B452,Team!B:B,Team!D:D),""))</f>
      </c>
      <c r="G452">
        <f>IF(B452="","",E452+F452)</f>
      </c>
    </row>
    <row r="453">
      <c r="C453">
        <f>IF(B453="","",IFERROR(XLOOKUP(B453,Team!B:B,Team!A:A),""))</f>
      </c>
      <c r="D453">
        <f>IF(B453="","",IFERROR(XLOOKUP(B453,Team!B:B,Team!D:D),""))</f>
      </c>
      <c r="G453">
        <f>IF(B453="","",E453+F453)</f>
      </c>
    </row>
    <row r="454">
      <c r="C454">
        <f>IF(B454="","",IFERROR(XLOOKUP(B454,Team!B:B,Team!A:A),""))</f>
      </c>
      <c r="D454">
        <f>IF(B454="","",IFERROR(XLOOKUP(B454,Team!B:B,Team!D:D),""))</f>
      </c>
      <c r="G454">
        <f>IF(B454="","",E454+F454)</f>
      </c>
    </row>
    <row r="455">
      <c r="C455">
        <f>IF(B455="","",IFERROR(XLOOKUP(B455,Team!B:B,Team!A:A),""))</f>
      </c>
      <c r="D455">
        <f>IF(B455="","",IFERROR(XLOOKUP(B455,Team!B:B,Team!D:D),""))</f>
      </c>
      <c r="G455">
        <f>IF(B455="","",E455+F455)</f>
      </c>
    </row>
    <row r="456">
      <c r="C456">
        <f>IF(B456="","",IFERROR(XLOOKUP(B456,Team!B:B,Team!A:A),""))</f>
      </c>
      <c r="D456">
        <f>IF(B456="","",IFERROR(XLOOKUP(B456,Team!B:B,Team!D:D),""))</f>
      </c>
      <c r="G456">
        <f>IF(B456="","",E456+F456)</f>
      </c>
    </row>
    <row r="457">
      <c r="C457">
        <f>IF(B457="","",IFERROR(XLOOKUP(B457,Team!B:B,Team!A:A),""))</f>
      </c>
      <c r="D457">
        <f>IF(B457="","",IFERROR(XLOOKUP(B457,Team!B:B,Team!D:D),""))</f>
      </c>
      <c r="G457">
        <f>IF(B457="","",E457+F457)</f>
      </c>
    </row>
    <row r="458">
      <c r="C458">
        <f>IF(B458="","",IFERROR(XLOOKUP(B458,Team!B:B,Team!A:A),""))</f>
      </c>
      <c r="D458">
        <f>IF(B458="","",IFERROR(XLOOKUP(B458,Team!B:B,Team!D:D),""))</f>
      </c>
      <c r="G458">
        <f>IF(B458="","",E458+F458)</f>
      </c>
    </row>
    <row r="459">
      <c r="C459">
        <f>IF(B459="","",IFERROR(XLOOKUP(B459,Team!B:B,Team!A:A),""))</f>
      </c>
      <c r="D459">
        <f>IF(B459="","",IFERROR(XLOOKUP(B459,Team!B:B,Team!D:D),""))</f>
      </c>
      <c r="G459">
        <f>IF(B459="","",E459+F459)</f>
      </c>
    </row>
    <row r="460">
      <c r="C460">
        <f>IF(B460="","",IFERROR(XLOOKUP(B460,Team!B:B,Team!A:A),""))</f>
      </c>
      <c r="D460">
        <f>IF(B460="","",IFERROR(XLOOKUP(B460,Team!B:B,Team!D:D),""))</f>
      </c>
      <c r="G460">
        <f>IF(B460="","",E460+F460)</f>
      </c>
    </row>
    <row r="461">
      <c r="C461">
        <f>IF(B461="","",IFERROR(XLOOKUP(B461,Team!B:B,Team!A:A),""))</f>
      </c>
      <c r="D461">
        <f>IF(B461="","",IFERROR(XLOOKUP(B461,Team!B:B,Team!D:D),""))</f>
      </c>
      <c r="G461">
        <f>IF(B461="","",E461+F461)</f>
      </c>
    </row>
    <row r="462">
      <c r="C462">
        <f>IF(B462="","",IFERROR(XLOOKUP(B462,Team!B:B,Team!A:A),""))</f>
      </c>
      <c r="D462">
        <f>IF(B462="","",IFERROR(XLOOKUP(B462,Team!B:B,Team!D:D),""))</f>
      </c>
      <c r="G462">
        <f>IF(B462="","",E462+F462)</f>
      </c>
    </row>
    <row r="463">
      <c r="C463">
        <f>IF(B463="","",IFERROR(XLOOKUP(B463,Team!B:B,Team!A:A),""))</f>
      </c>
      <c r="D463">
        <f>IF(B463="","",IFERROR(XLOOKUP(B463,Team!B:B,Team!D:D),""))</f>
      </c>
      <c r="G463">
        <f>IF(B463="","",E463+F463)</f>
      </c>
    </row>
    <row r="464">
      <c r="C464">
        <f>IF(B464="","",IFERROR(XLOOKUP(B464,Team!B:B,Team!A:A),""))</f>
      </c>
      <c r="D464">
        <f>IF(B464="","",IFERROR(XLOOKUP(B464,Team!B:B,Team!D:D),""))</f>
      </c>
      <c r="G464">
        <f>IF(B464="","",E464+F464)</f>
      </c>
    </row>
    <row r="465">
      <c r="C465">
        <f>IF(B465="","",IFERROR(XLOOKUP(B465,Team!B:B,Team!A:A),""))</f>
      </c>
      <c r="D465">
        <f>IF(B465="","",IFERROR(XLOOKUP(B465,Team!B:B,Team!D:D),""))</f>
      </c>
      <c r="G465">
        <f>IF(B465="","",E465+F465)</f>
      </c>
    </row>
    <row r="466">
      <c r="C466">
        <f>IF(B466="","",IFERROR(XLOOKUP(B466,Team!B:B,Team!A:A),""))</f>
      </c>
      <c r="D466">
        <f>IF(B466="","",IFERROR(XLOOKUP(B466,Team!B:B,Team!D:D),""))</f>
      </c>
      <c r="G466">
        <f>IF(B466="","",E466+F466)</f>
      </c>
    </row>
    <row r="467">
      <c r="C467">
        <f>IF(B467="","",IFERROR(XLOOKUP(B467,Team!B:B,Team!A:A),""))</f>
      </c>
      <c r="D467">
        <f>IF(B467="","",IFERROR(XLOOKUP(B467,Team!B:B,Team!D:D),""))</f>
      </c>
      <c r="G467">
        <f>IF(B467="","",E467+F467)</f>
      </c>
    </row>
    <row r="468">
      <c r="C468">
        <f>IF(B468="","",IFERROR(XLOOKUP(B468,Team!B:B,Team!A:A),""))</f>
      </c>
      <c r="D468">
        <f>IF(B468="","",IFERROR(XLOOKUP(B468,Team!B:B,Team!D:D),""))</f>
      </c>
      <c r="G468">
        <f>IF(B468="","",E468+F468)</f>
      </c>
    </row>
    <row r="469">
      <c r="C469">
        <f>IF(B469="","",IFERROR(XLOOKUP(B469,Team!B:B,Team!A:A),""))</f>
      </c>
      <c r="D469">
        <f>IF(B469="","",IFERROR(XLOOKUP(B469,Team!B:B,Team!D:D),""))</f>
      </c>
      <c r="G469">
        <f>IF(B469="","",E469+F469)</f>
      </c>
    </row>
    <row r="470">
      <c r="C470">
        <f>IF(B470="","",IFERROR(XLOOKUP(B470,Team!B:B,Team!A:A),""))</f>
      </c>
      <c r="D470">
        <f>IF(B470="","",IFERROR(XLOOKUP(B470,Team!B:B,Team!D:D),""))</f>
      </c>
      <c r="G470">
        <f>IF(B470="","",E470+F470)</f>
      </c>
    </row>
    <row r="471">
      <c r="C471">
        <f>IF(B471="","",IFERROR(XLOOKUP(B471,Team!B:B,Team!A:A),""))</f>
      </c>
      <c r="D471">
        <f>IF(B471="","",IFERROR(XLOOKUP(B471,Team!B:B,Team!D:D),""))</f>
      </c>
      <c r="G471">
        <f>IF(B471="","",E471+F471)</f>
      </c>
    </row>
    <row r="472">
      <c r="C472">
        <f>IF(B472="","",IFERROR(XLOOKUP(B472,Team!B:B,Team!A:A),""))</f>
      </c>
      <c r="D472">
        <f>IF(B472="","",IFERROR(XLOOKUP(B472,Team!B:B,Team!D:D),""))</f>
      </c>
      <c r="G472">
        <f>IF(B472="","",E472+F472)</f>
      </c>
    </row>
    <row r="473">
      <c r="C473">
        <f>IF(B473="","",IFERROR(XLOOKUP(B473,Team!B:B,Team!A:A),""))</f>
      </c>
      <c r="D473">
        <f>IF(B473="","",IFERROR(XLOOKUP(B473,Team!B:B,Team!D:D),""))</f>
      </c>
      <c r="G473">
        <f>IF(B473="","",E473+F473)</f>
      </c>
    </row>
    <row r="474">
      <c r="C474">
        <f>IF(B474="","",IFERROR(XLOOKUP(B474,Team!B:B,Team!A:A),""))</f>
      </c>
      <c r="D474">
        <f>IF(B474="","",IFERROR(XLOOKUP(B474,Team!B:B,Team!D:D),""))</f>
      </c>
      <c r="G474">
        <f>IF(B474="","",E474+F474)</f>
      </c>
    </row>
    <row r="475">
      <c r="C475">
        <f>IF(B475="","",IFERROR(XLOOKUP(B475,Team!B:B,Team!A:A),""))</f>
      </c>
      <c r="D475">
        <f>IF(B475="","",IFERROR(XLOOKUP(B475,Team!B:B,Team!D:D),""))</f>
      </c>
      <c r="G475">
        <f>IF(B475="","",E475+F475)</f>
      </c>
    </row>
    <row r="476">
      <c r="C476">
        <f>IF(B476="","",IFERROR(XLOOKUP(B476,Team!B:B,Team!A:A),""))</f>
      </c>
      <c r="D476">
        <f>IF(B476="","",IFERROR(XLOOKUP(B476,Team!B:B,Team!D:D),""))</f>
      </c>
      <c r="G476">
        <f>IF(B476="","",E476+F476)</f>
      </c>
    </row>
    <row r="477">
      <c r="C477">
        <f>IF(B477="","",IFERROR(XLOOKUP(B477,Team!B:B,Team!A:A),""))</f>
      </c>
      <c r="D477">
        <f>IF(B477="","",IFERROR(XLOOKUP(B477,Team!B:B,Team!D:D),""))</f>
      </c>
      <c r="G477">
        <f>IF(B477="","",E477+F477)</f>
      </c>
    </row>
    <row r="478">
      <c r="C478">
        <f>IF(B478="","",IFERROR(XLOOKUP(B478,Team!B:B,Team!A:A),""))</f>
      </c>
      <c r="D478">
        <f>IF(B478="","",IFERROR(XLOOKUP(B478,Team!B:B,Team!D:D),""))</f>
      </c>
      <c r="G478">
        <f>IF(B478="","",E478+F478)</f>
      </c>
    </row>
    <row r="479">
      <c r="C479">
        <f>IF(B479="","",IFERROR(XLOOKUP(B479,Team!B:B,Team!A:A),""))</f>
      </c>
      <c r="D479">
        <f>IF(B479="","",IFERROR(XLOOKUP(B479,Team!B:B,Team!D:D),""))</f>
      </c>
      <c r="G479">
        <f>IF(B479="","",E479+F479)</f>
      </c>
    </row>
    <row r="480">
      <c r="C480">
        <f>IF(B480="","",IFERROR(XLOOKUP(B480,Team!B:B,Team!A:A),""))</f>
      </c>
      <c r="D480">
        <f>IF(B480="","",IFERROR(XLOOKUP(B480,Team!B:B,Team!D:D),""))</f>
      </c>
      <c r="G480">
        <f>IF(B480="","",E480+F480)</f>
      </c>
    </row>
    <row r="481">
      <c r="C481">
        <f>IF(B481="","",IFERROR(XLOOKUP(B481,Team!B:B,Team!A:A),""))</f>
      </c>
      <c r="D481">
        <f>IF(B481="","",IFERROR(XLOOKUP(B481,Team!B:B,Team!D:D),""))</f>
      </c>
      <c r="G481">
        <f>IF(B481="","",E481+F481)</f>
      </c>
    </row>
    <row r="482">
      <c r="C482">
        <f>IF(B482="","",IFERROR(XLOOKUP(B482,Team!B:B,Team!A:A),""))</f>
      </c>
      <c r="D482">
        <f>IF(B482="","",IFERROR(XLOOKUP(B482,Team!B:B,Team!D:D),""))</f>
      </c>
      <c r="G482">
        <f>IF(B482="","",E482+F482)</f>
      </c>
    </row>
    <row r="483">
      <c r="C483">
        <f>IF(B483="","",IFERROR(XLOOKUP(B483,Team!B:B,Team!A:A),""))</f>
      </c>
      <c r="D483">
        <f>IF(B483="","",IFERROR(XLOOKUP(B483,Team!B:B,Team!D:D),""))</f>
      </c>
      <c r="G483">
        <f>IF(B483="","",E483+F483)</f>
      </c>
    </row>
    <row r="484">
      <c r="C484">
        <f>IF(B484="","",IFERROR(XLOOKUP(B484,Team!B:B,Team!A:A),""))</f>
      </c>
      <c r="D484">
        <f>IF(B484="","",IFERROR(XLOOKUP(B484,Team!B:B,Team!D:D),""))</f>
      </c>
      <c r="G484">
        <f>IF(B484="","",E484+F484)</f>
      </c>
    </row>
    <row r="485">
      <c r="C485">
        <f>IF(B485="","",IFERROR(XLOOKUP(B485,Team!B:B,Team!A:A),""))</f>
      </c>
      <c r="D485">
        <f>IF(B485="","",IFERROR(XLOOKUP(B485,Team!B:B,Team!D:D),""))</f>
      </c>
      <c r="G485">
        <f>IF(B485="","",E485+F485)</f>
      </c>
    </row>
    <row r="486">
      <c r="C486">
        <f>IF(B486="","",IFERROR(XLOOKUP(B486,Team!B:B,Team!A:A),""))</f>
      </c>
      <c r="D486">
        <f>IF(B486="","",IFERROR(XLOOKUP(B486,Team!B:B,Team!D:D),""))</f>
      </c>
      <c r="G486">
        <f>IF(B486="","",E486+F486)</f>
      </c>
    </row>
    <row r="487">
      <c r="C487">
        <f>IF(B487="","",IFERROR(XLOOKUP(B487,Team!B:B,Team!A:A),""))</f>
      </c>
      <c r="D487">
        <f>IF(B487="","",IFERROR(XLOOKUP(B487,Team!B:B,Team!D:D),""))</f>
      </c>
      <c r="G487">
        <f>IF(B487="","",E487+F487)</f>
      </c>
    </row>
    <row r="488">
      <c r="C488">
        <f>IF(B488="","",IFERROR(XLOOKUP(B488,Team!B:B,Team!A:A),""))</f>
      </c>
      <c r="D488">
        <f>IF(B488="","",IFERROR(XLOOKUP(B488,Team!B:B,Team!D:D),""))</f>
      </c>
      <c r="G488">
        <f>IF(B488="","",E488+F488)</f>
      </c>
    </row>
    <row r="489">
      <c r="C489">
        <f>IF(B489="","",IFERROR(XLOOKUP(B489,Team!B:B,Team!A:A),""))</f>
      </c>
      <c r="D489">
        <f>IF(B489="","",IFERROR(XLOOKUP(B489,Team!B:B,Team!D:D),""))</f>
      </c>
      <c r="G489">
        <f>IF(B489="","",E489+F489)</f>
      </c>
    </row>
    <row r="490">
      <c r="C490">
        <f>IF(B490="","",IFERROR(XLOOKUP(B490,Team!B:B,Team!A:A),""))</f>
      </c>
      <c r="D490">
        <f>IF(B490="","",IFERROR(XLOOKUP(B490,Team!B:B,Team!D:D),""))</f>
      </c>
      <c r="G490">
        <f>IF(B490="","",E490+F490)</f>
      </c>
    </row>
    <row r="491">
      <c r="C491">
        <f>IF(B491="","",IFERROR(XLOOKUP(B491,Team!B:B,Team!A:A),""))</f>
      </c>
      <c r="D491">
        <f>IF(B491="","",IFERROR(XLOOKUP(B491,Team!B:B,Team!D:D),""))</f>
      </c>
      <c r="G491">
        <f>IF(B491="","",E491+F491)</f>
      </c>
    </row>
    <row r="492">
      <c r="C492">
        <f>IF(B492="","",IFERROR(XLOOKUP(B492,Team!B:B,Team!A:A),""))</f>
      </c>
      <c r="D492">
        <f>IF(B492="","",IFERROR(XLOOKUP(B492,Team!B:B,Team!D:D),""))</f>
      </c>
      <c r="G492">
        <f>IF(B492="","",E492+F492)</f>
      </c>
    </row>
    <row r="493">
      <c r="C493">
        <f>IF(B493="","",IFERROR(XLOOKUP(B493,Team!B:B,Team!A:A),""))</f>
      </c>
      <c r="D493">
        <f>IF(B493="","",IFERROR(XLOOKUP(B493,Team!B:B,Team!D:D),""))</f>
      </c>
      <c r="G493">
        <f>IF(B493="","",E493+F493)</f>
      </c>
    </row>
    <row r="494">
      <c r="C494">
        <f>IF(B494="","",IFERROR(XLOOKUP(B494,Team!B:B,Team!A:A),""))</f>
      </c>
      <c r="D494">
        <f>IF(B494="","",IFERROR(XLOOKUP(B494,Team!B:B,Team!D:D),""))</f>
      </c>
      <c r="G494">
        <f>IF(B494="","",E494+F494)</f>
      </c>
    </row>
    <row r="495">
      <c r="C495">
        <f>IF(B495="","",IFERROR(XLOOKUP(B495,Team!B:B,Team!A:A),""))</f>
      </c>
      <c r="D495">
        <f>IF(B495="","",IFERROR(XLOOKUP(B495,Team!B:B,Team!D:D),""))</f>
      </c>
      <c r="G495">
        <f>IF(B495="","",E495+F495)</f>
      </c>
    </row>
    <row r="496">
      <c r="C496">
        <f>IF(B496="","",IFERROR(XLOOKUP(B496,Team!B:B,Team!A:A),""))</f>
      </c>
      <c r="D496">
        <f>IF(B496="","",IFERROR(XLOOKUP(B496,Team!B:B,Team!D:D),""))</f>
      </c>
      <c r="G496">
        <f>IF(B496="","",E496+F496)</f>
      </c>
    </row>
    <row r="497">
      <c r="C497">
        <f>IF(B497="","",IFERROR(XLOOKUP(B497,Team!B:B,Team!A:A),""))</f>
      </c>
      <c r="D497">
        <f>IF(B497="","",IFERROR(XLOOKUP(B497,Team!B:B,Team!D:D),""))</f>
      </c>
      <c r="G497">
        <f>IF(B497="","",E497+F497)</f>
      </c>
    </row>
    <row r="498">
      <c r="C498">
        <f>IF(B498="","",IFERROR(XLOOKUP(B498,Team!B:B,Team!A:A),""))</f>
      </c>
      <c r="D498">
        <f>IF(B498="","",IFERROR(XLOOKUP(B498,Team!B:B,Team!D:D),""))</f>
      </c>
      <c r="G498">
        <f>IF(B498="","",E498+F498)</f>
      </c>
    </row>
    <row r="499">
      <c r="C499">
        <f>IF(B499="","",IFERROR(XLOOKUP(B499,Team!B:B,Team!A:A),""))</f>
      </c>
      <c r="D499">
        <f>IF(B499="","",IFERROR(XLOOKUP(B499,Team!B:B,Team!D:D),""))</f>
      </c>
      <c r="G499">
        <f>IF(B499="","",E499+F499)</f>
      </c>
    </row>
    <row r="500">
      <c r="C500">
        <f>IF(B500="","",IFERROR(XLOOKUP(B500,Team!B:B,Team!A:A),""))</f>
      </c>
      <c r="D500">
        <f>IF(B500="","",IFERROR(XLOOKUP(B500,Team!B:B,Team!D:D),""))</f>
      </c>
      <c r="G500">
        <f>IF(B500="","",E500+F500)</f>
      </c>
    </row>
    <row r="501">
      <c r="C501">
        <f>IF(B501="","",IFERROR(XLOOKUP(B501,Team!B:B,Team!A:A),""))</f>
      </c>
      <c r="D501">
        <f>IF(B501="","",IFERROR(XLOOKUP(B501,Team!B:B,Team!D:D),""))</f>
      </c>
      <c r="G501">
        <f>IF(B501="","",E501+F501)</f>
      </c>
    </row>
    <row r="502">
      <c r="C502">
        <f>IF(B502="","",IFERROR(XLOOKUP(B502,Team!B:B,Team!A:A),""))</f>
      </c>
      <c r="D502">
        <f>IF(B502="","",IFERROR(XLOOKUP(B502,Team!B:B,Team!D:D),""))</f>
      </c>
      <c r="G502">
        <f>IF(B502="","",E502+F502)</f>
      </c>
    </row>
    <row r="503">
      <c r="C503">
        <f>IF(B503="","",IFERROR(XLOOKUP(B503,Team!B:B,Team!A:A),""))</f>
      </c>
      <c r="D503">
        <f>IF(B503="","",IFERROR(XLOOKUP(B503,Team!B:B,Team!D:D),""))</f>
      </c>
      <c r="G503">
        <f>IF(B503="","",E503+F503)</f>
      </c>
    </row>
    <row r="504">
      <c r="C504">
        <f>IF(B504="","",IFERROR(XLOOKUP(B504,Team!B:B,Team!A:A),""))</f>
      </c>
      <c r="D504">
        <f>IF(B504="","",IFERROR(XLOOKUP(B504,Team!B:B,Team!D:D),""))</f>
      </c>
      <c r="G504">
        <f>IF(B504="","",E504+F504)</f>
      </c>
    </row>
    <row r="505">
      <c r="C505">
        <f>IF(B505="","",IFERROR(XLOOKUP(B505,Team!B:B,Team!A:A),""))</f>
      </c>
      <c r="D505">
        <f>IF(B505="","",IFERROR(XLOOKUP(B505,Team!B:B,Team!D:D),""))</f>
      </c>
      <c r="G505">
        <f>IF(B505="","",E505+F505)</f>
      </c>
    </row>
    <row r="506">
      <c r="C506">
        <f>IF(B506="","",IFERROR(XLOOKUP(B506,Team!B:B,Team!A:A),""))</f>
      </c>
      <c r="D506">
        <f>IF(B506="","",IFERROR(XLOOKUP(B506,Team!B:B,Team!D:D),""))</f>
      </c>
      <c r="G506">
        <f>IF(B506="","",E506+F506)</f>
      </c>
    </row>
    <row r="507">
      <c r="C507">
        <f>IF(B507="","",IFERROR(XLOOKUP(B507,Team!B:B,Team!A:A),""))</f>
      </c>
      <c r="D507">
        <f>IF(B507="","",IFERROR(XLOOKUP(B507,Team!B:B,Team!D:D),""))</f>
      </c>
      <c r="G507">
        <f>IF(B507="","",E507+F507)</f>
      </c>
    </row>
    <row r="508">
      <c r="C508">
        <f>IF(B508="","",IFERROR(XLOOKUP(B508,Team!B:B,Team!A:A),""))</f>
      </c>
      <c r="D508">
        <f>IF(B508="","",IFERROR(XLOOKUP(B508,Team!B:B,Team!D:D),""))</f>
      </c>
      <c r="G508">
        <f>IF(B508="","",E508+F508)</f>
      </c>
    </row>
    <row r="509">
      <c r="C509">
        <f>IF(B509="","",IFERROR(XLOOKUP(B509,Team!B:B,Team!A:A),""))</f>
      </c>
      <c r="D509">
        <f>IF(B509="","",IFERROR(XLOOKUP(B509,Team!B:B,Team!D:D),""))</f>
      </c>
      <c r="G509">
        <f>IF(B509="","",E509+F509)</f>
      </c>
    </row>
    <row r="510">
      <c r="C510">
        <f>IF(B510="","",IFERROR(XLOOKUP(B510,Team!B:B,Team!A:A),""))</f>
      </c>
      <c r="D510">
        <f>IF(B510="","",IFERROR(XLOOKUP(B510,Team!B:B,Team!D:D),""))</f>
      </c>
      <c r="G510">
        <f>IF(B510="","",E510+F510)</f>
      </c>
    </row>
    <row r="511">
      <c r="C511">
        <f>IF(B511="","",IFERROR(XLOOKUP(B511,Team!B:B,Team!A:A),""))</f>
      </c>
      <c r="D511">
        <f>IF(B511="","",IFERROR(XLOOKUP(B511,Team!B:B,Team!D:D),""))</f>
      </c>
      <c r="G511">
        <f>IF(B511="","",E511+F511)</f>
      </c>
    </row>
    <row r="512">
      <c r="C512">
        <f>IF(B512="","",IFERROR(XLOOKUP(B512,Team!B:B,Team!A:A),""))</f>
      </c>
      <c r="D512">
        <f>IF(B512="","",IFERROR(XLOOKUP(B512,Team!B:B,Team!D:D),""))</f>
      </c>
      <c r="G512">
        <f>IF(B512="","",E512+F512)</f>
      </c>
    </row>
    <row r="513">
      <c r="C513">
        <f>IF(B513="","",IFERROR(XLOOKUP(B513,Team!B:B,Team!A:A),""))</f>
      </c>
      <c r="D513">
        <f>IF(B513="","",IFERROR(XLOOKUP(B513,Team!B:B,Team!D:D),""))</f>
      </c>
      <c r="G513">
        <f>IF(B513="","",E513+F513)</f>
      </c>
    </row>
    <row r="514">
      <c r="C514">
        <f>IF(B514="","",IFERROR(XLOOKUP(B514,Team!B:B,Team!A:A),""))</f>
      </c>
      <c r="D514">
        <f>IF(B514="","",IFERROR(XLOOKUP(B514,Team!B:B,Team!D:D),""))</f>
      </c>
      <c r="G514">
        <f>IF(B514="","",E514+F514)</f>
      </c>
    </row>
    <row r="515">
      <c r="C515">
        <f>IF(B515="","",IFERROR(XLOOKUP(B515,Team!B:B,Team!A:A),""))</f>
      </c>
      <c r="D515">
        <f>IF(B515="","",IFERROR(XLOOKUP(B515,Team!B:B,Team!D:D),""))</f>
      </c>
      <c r="G515">
        <f>IF(B515="","",E515+F515)</f>
      </c>
    </row>
    <row r="516">
      <c r="C516">
        <f>IF(B516="","",IFERROR(XLOOKUP(B516,Team!B:B,Team!A:A),""))</f>
      </c>
      <c r="D516">
        <f>IF(B516="","",IFERROR(XLOOKUP(B516,Team!B:B,Team!D:D),""))</f>
      </c>
      <c r="G516">
        <f>IF(B516="","",E516+F516)</f>
      </c>
    </row>
    <row r="517">
      <c r="C517">
        <f>IF(B517="","",IFERROR(XLOOKUP(B517,Team!B:B,Team!A:A),""))</f>
      </c>
      <c r="D517">
        <f>IF(B517="","",IFERROR(XLOOKUP(B517,Team!B:B,Team!D:D),""))</f>
      </c>
      <c r="G517">
        <f>IF(B517="","",E517+F517)</f>
      </c>
    </row>
    <row r="518">
      <c r="C518">
        <f>IF(B518="","",IFERROR(XLOOKUP(B518,Team!B:B,Team!A:A),""))</f>
      </c>
      <c r="D518">
        <f>IF(B518="","",IFERROR(XLOOKUP(B518,Team!B:B,Team!D:D),""))</f>
      </c>
      <c r="G518">
        <f>IF(B518="","",E518+F518)</f>
      </c>
    </row>
    <row r="519">
      <c r="C519">
        <f>IF(B519="","",IFERROR(XLOOKUP(B519,Team!B:B,Team!A:A),""))</f>
      </c>
      <c r="D519">
        <f>IF(B519="","",IFERROR(XLOOKUP(B519,Team!B:B,Team!D:D),""))</f>
      </c>
      <c r="G519">
        <f>IF(B519="","",E519+F519)</f>
      </c>
    </row>
    <row r="520">
      <c r="C520">
        <f>IF(B520="","",IFERROR(XLOOKUP(B520,Team!B:B,Team!A:A),""))</f>
      </c>
      <c r="D520">
        <f>IF(B520="","",IFERROR(XLOOKUP(B520,Team!B:B,Team!D:D),""))</f>
      </c>
      <c r="G520">
        <f>IF(B520="","",E520+F520)</f>
      </c>
    </row>
    <row r="521">
      <c r="C521">
        <f>IF(B521="","",IFERROR(XLOOKUP(B521,Team!B:B,Team!A:A),""))</f>
      </c>
      <c r="D521">
        <f>IF(B521="","",IFERROR(XLOOKUP(B521,Team!B:B,Team!D:D),""))</f>
      </c>
      <c r="G521">
        <f>IF(B521="","",E521+F521)</f>
      </c>
    </row>
    <row r="522">
      <c r="C522">
        <f>IF(B522="","",IFERROR(XLOOKUP(B522,Team!B:B,Team!A:A),""))</f>
      </c>
      <c r="D522">
        <f>IF(B522="","",IFERROR(XLOOKUP(B522,Team!B:B,Team!D:D),""))</f>
      </c>
      <c r="G522">
        <f>IF(B522="","",E522+F522)</f>
      </c>
    </row>
    <row r="523">
      <c r="C523">
        <f>IF(B523="","",IFERROR(XLOOKUP(B523,Team!B:B,Team!A:A),""))</f>
      </c>
      <c r="D523">
        <f>IF(B523="","",IFERROR(XLOOKUP(B523,Team!B:B,Team!D:D),""))</f>
      </c>
      <c r="G523">
        <f>IF(B523="","",E523+F523)</f>
      </c>
    </row>
    <row r="524">
      <c r="C524">
        <f>IF(B524="","",IFERROR(XLOOKUP(B524,Team!B:B,Team!A:A),""))</f>
      </c>
      <c r="D524">
        <f>IF(B524="","",IFERROR(XLOOKUP(B524,Team!B:B,Team!D:D),""))</f>
      </c>
      <c r="G524">
        <f>IF(B524="","",E524+F524)</f>
      </c>
    </row>
    <row r="525">
      <c r="C525">
        <f>IF(B525="","",IFERROR(XLOOKUP(B525,Team!B:B,Team!A:A),""))</f>
      </c>
      <c r="D525">
        <f>IF(B525="","",IFERROR(XLOOKUP(B525,Team!B:B,Team!D:D),""))</f>
      </c>
      <c r="G525">
        <f>IF(B525="","",E525+F525)</f>
      </c>
    </row>
    <row r="526">
      <c r="C526">
        <f>IF(B526="","",IFERROR(XLOOKUP(B526,Team!B:B,Team!A:A),""))</f>
      </c>
      <c r="D526">
        <f>IF(B526="","",IFERROR(XLOOKUP(B526,Team!B:B,Team!D:D),""))</f>
      </c>
      <c r="G526">
        <f>IF(B526="","",E526+F526)</f>
      </c>
    </row>
    <row r="527">
      <c r="C527">
        <f>IF(B527="","",IFERROR(XLOOKUP(B527,Team!B:B,Team!A:A),""))</f>
      </c>
      <c r="D527">
        <f>IF(B527="","",IFERROR(XLOOKUP(B527,Team!B:B,Team!D:D),""))</f>
      </c>
      <c r="G527">
        <f>IF(B527="","",E527+F527)</f>
      </c>
    </row>
    <row r="528">
      <c r="C528">
        <f>IF(B528="","",IFERROR(XLOOKUP(B528,Team!B:B,Team!A:A),""))</f>
      </c>
      <c r="D528">
        <f>IF(B528="","",IFERROR(XLOOKUP(B528,Team!B:B,Team!D:D),""))</f>
      </c>
      <c r="G528">
        <f>IF(B528="","",E528+F528)</f>
      </c>
    </row>
    <row r="529">
      <c r="C529">
        <f>IF(B529="","",IFERROR(XLOOKUP(B529,Team!B:B,Team!A:A),""))</f>
      </c>
      <c r="D529">
        <f>IF(B529="","",IFERROR(XLOOKUP(B529,Team!B:B,Team!D:D),""))</f>
      </c>
      <c r="G529">
        <f>IF(B529="","",E529+F529)</f>
      </c>
    </row>
    <row r="530">
      <c r="C530">
        <f>IF(B530="","",IFERROR(XLOOKUP(B530,Team!B:B,Team!A:A),""))</f>
      </c>
      <c r="D530">
        <f>IF(B530="","",IFERROR(XLOOKUP(B530,Team!B:B,Team!D:D),""))</f>
      </c>
      <c r="G530">
        <f>IF(B530="","",E530+F530)</f>
      </c>
    </row>
    <row r="531">
      <c r="C531">
        <f>IF(B531="","",IFERROR(XLOOKUP(B531,Team!B:B,Team!A:A),""))</f>
      </c>
      <c r="D531">
        <f>IF(B531="","",IFERROR(XLOOKUP(B531,Team!B:B,Team!D:D),""))</f>
      </c>
      <c r="G531">
        <f>IF(B531="","",E531+F531)</f>
      </c>
    </row>
    <row r="532">
      <c r="C532">
        <f>IF(B532="","",IFERROR(XLOOKUP(B532,Team!B:B,Team!A:A),""))</f>
      </c>
      <c r="D532">
        <f>IF(B532="","",IFERROR(XLOOKUP(B532,Team!B:B,Team!D:D),""))</f>
      </c>
      <c r="G532">
        <f>IF(B532="","",E532+F532)</f>
      </c>
    </row>
    <row r="533">
      <c r="C533">
        <f>IF(B533="","",IFERROR(XLOOKUP(B533,Team!B:B,Team!A:A),""))</f>
      </c>
      <c r="D533">
        <f>IF(B533="","",IFERROR(XLOOKUP(B533,Team!B:B,Team!D:D),""))</f>
      </c>
      <c r="G533">
        <f>IF(B533="","",E533+F533)</f>
      </c>
    </row>
    <row r="534">
      <c r="C534">
        <f>IF(B534="","",IFERROR(XLOOKUP(B534,Team!B:B,Team!A:A),""))</f>
      </c>
      <c r="D534">
        <f>IF(B534="","",IFERROR(XLOOKUP(B534,Team!B:B,Team!D:D),""))</f>
      </c>
      <c r="G534">
        <f>IF(B534="","",E534+F534)</f>
      </c>
    </row>
    <row r="535">
      <c r="C535">
        <f>IF(B535="","",IFERROR(XLOOKUP(B535,Team!B:B,Team!A:A),""))</f>
      </c>
      <c r="D535">
        <f>IF(B535="","",IFERROR(XLOOKUP(B535,Team!B:B,Team!D:D),""))</f>
      </c>
      <c r="G535">
        <f>IF(B535="","",E535+F535)</f>
      </c>
    </row>
    <row r="536">
      <c r="C536">
        <f>IF(B536="","",IFERROR(XLOOKUP(B536,Team!B:B,Team!A:A),""))</f>
      </c>
      <c r="D536">
        <f>IF(B536="","",IFERROR(XLOOKUP(B536,Team!B:B,Team!D:D),""))</f>
      </c>
      <c r="G536">
        <f>IF(B536="","",E536+F536)</f>
      </c>
    </row>
    <row r="537">
      <c r="C537">
        <f>IF(B537="","",IFERROR(XLOOKUP(B537,Team!B:B,Team!A:A),""))</f>
      </c>
      <c r="D537">
        <f>IF(B537="","",IFERROR(XLOOKUP(B537,Team!B:B,Team!D:D),""))</f>
      </c>
      <c r="G537">
        <f>IF(B537="","",E537+F537)</f>
      </c>
    </row>
    <row r="538">
      <c r="C538">
        <f>IF(B538="","",IFERROR(XLOOKUP(B538,Team!B:B,Team!A:A),""))</f>
      </c>
      <c r="D538">
        <f>IF(B538="","",IFERROR(XLOOKUP(B538,Team!B:B,Team!D:D),""))</f>
      </c>
      <c r="G538">
        <f>IF(B538="","",E538+F538)</f>
      </c>
    </row>
    <row r="539">
      <c r="C539">
        <f>IF(B539="","",IFERROR(XLOOKUP(B539,Team!B:B,Team!A:A),""))</f>
      </c>
      <c r="D539">
        <f>IF(B539="","",IFERROR(XLOOKUP(B539,Team!B:B,Team!D:D),""))</f>
      </c>
      <c r="G539">
        <f>IF(B539="","",E539+F539)</f>
      </c>
    </row>
    <row r="540">
      <c r="C540">
        <f>IF(B540="","",IFERROR(XLOOKUP(B540,Team!B:B,Team!A:A),""))</f>
      </c>
      <c r="D540">
        <f>IF(B540="","",IFERROR(XLOOKUP(B540,Team!B:B,Team!D:D),""))</f>
      </c>
      <c r="G540">
        <f>IF(B540="","",E540+F540)</f>
      </c>
    </row>
    <row r="541">
      <c r="C541">
        <f>IF(B541="","",IFERROR(XLOOKUP(B541,Team!B:B,Team!A:A),""))</f>
      </c>
      <c r="D541">
        <f>IF(B541="","",IFERROR(XLOOKUP(B541,Team!B:B,Team!D:D),""))</f>
      </c>
      <c r="G541">
        <f>IF(B541="","",E541+F541)</f>
      </c>
    </row>
    <row r="542">
      <c r="C542">
        <f>IF(B542="","",IFERROR(XLOOKUP(B542,Team!B:B,Team!A:A),""))</f>
      </c>
      <c r="D542">
        <f>IF(B542="","",IFERROR(XLOOKUP(B542,Team!B:B,Team!D:D),""))</f>
      </c>
      <c r="G542">
        <f>IF(B542="","",E542+F542)</f>
      </c>
    </row>
    <row r="543">
      <c r="C543">
        <f>IF(B543="","",IFERROR(XLOOKUP(B543,Team!B:B,Team!A:A),""))</f>
      </c>
      <c r="D543">
        <f>IF(B543="","",IFERROR(XLOOKUP(B543,Team!B:B,Team!D:D),""))</f>
      </c>
      <c r="G543">
        <f>IF(B543="","",E543+F543)</f>
      </c>
    </row>
    <row r="544">
      <c r="C544">
        <f>IF(B544="","",IFERROR(XLOOKUP(B544,Team!B:B,Team!A:A),""))</f>
      </c>
      <c r="D544">
        <f>IF(B544="","",IFERROR(XLOOKUP(B544,Team!B:B,Team!D:D),""))</f>
      </c>
      <c r="G544">
        <f>IF(B544="","",E544+F544)</f>
      </c>
    </row>
    <row r="545">
      <c r="C545">
        <f>IF(B545="","",IFERROR(XLOOKUP(B545,Team!B:B,Team!A:A),""))</f>
      </c>
      <c r="D545">
        <f>IF(B545="","",IFERROR(XLOOKUP(B545,Team!B:B,Team!D:D),""))</f>
      </c>
      <c r="G545">
        <f>IF(B545="","",E545+F545)</f>
      </c>
    </row>
    <row r="546">
      <c r="C546">
        <f>IF(B546="","",IFERROR(XLOOKUP(B546,Team!B:B,Team!A:A),""))</f>
      </c>
      <c r="D546">
        <f>IF(B546="","",IFERROR(XLOOKUP(B546,Team!B:B,Team!D:D),""))</f>
      </c>
      <c r="G546">
        <f>IF(B546="","",E546+F546)</f>
      </c>
    </row>
    <row r="547">
      <c r="C547">
        <f>IF(B547="","",IFERROR(XLOOKUP(B547,Team!B:B,Team!A:A),""))</f>
      </c>
      <c r="D547">
        <f>IF(B547="","",IFERROR(XLOOKUP(B547,Team!B:B,Team!D:D),""))</f>
      </c>
      <c r="G547">
        <f>IF(B547="","",E547+F547)</f>
      </c>
    </row>
    <row r="548">
      <c r="C548">
        <f>IF(B548="","",IFERROR(XLOOKUP(B548,Team!B:B,Team!A:A),""))</f>
      </c>
      <c r="D548">
        <f>IF(B548="","",IFERROR(XLOOKUP(B548,Team!B:B,Team!D:D),""))</f>
      </c>
      <c r="G548">
        <f>IF(B548="","",E548+F548)</f>
      </c>
    </row>
    <row r="549">
      <c r="C549">
        <f>IF(B549="","",IFERROR(XLOOKUP(B549,Team!B:B,Team!A:A),""))</f>
      </c>
      <c r="D549">
        <f>IF(B549="","",IFERROR(XLOOKUP(B549,Team!B:B,Team!D:D),""))</f>
      </c>
      <c r="G549">
        <f>IF(B549="","",E549+F549)</f>
      </c>
    </row>
    <row r="550">
      <c r="C550">
        <f>IF(B550="","",IFERROR(XLOOKUP(B550,Team!B:B,Team!A:A),""))</f>
      </c>
      <c r="D550">
        <f>IF(B550="","",IFERROR(XLOOKUP(B550,Team!B:B,Team!D:D),""))</f>
      </c>
      <c r="G550">
        <f>IF(B550="","",E550+F550)</f>
      </c>
    </row>
    <row r="551">
      <c r="C551">
        <f>IF(B551="","",IFERROR(XLOOKUP(B551,Team!B:B,Team!A:A),""))</f>
      </c>
      <c r="D551">
        <f>IF(B551="","",IFERROR(XLOOKUP(B551,Team!B:B,Team!D:D),""))</f>
      </c>
      <c r="G551">
        <f>IF(B551="","",E551+F551)</f>
      </c>
    </row>
    <row r="552">
      <c r="C552">
        <f>IF(B552="","",IFERROR(XLOOKUP(B552,Team!B:B,Team!A:A),""))</f>
      </c>
      <c r="D552">
        <f>IF(B552="","",IFERROR(XLOOKUP(B552,Team!B:B,Team!D:D),""))</f>
      </c>
      <c r="G552">
        <f>IF(B552="","",E552+F552)</f>
      </c>
    </row>
    <row r="553">
      <c r="C553">
        <f>IF(B553="","",IFERROR(XLOOKUP(B553,Team!B:B,Team!A:A),""))</f>
      </c>
      <c r="D553">
        <f>IF(B553="","",IFERROR(XLOOKUP(B553,Team!B:B,Team!D:D),""))</f>
      </c>
      <c r="G553">
        <f>IF(B553="","",E553+F553)</f>
      </c>
    </row>
    <row r="554">
      <c r="C554">
        <f>IF(B554="","",IFERROR(XLOOKUP(B554,Team!B:B,Team!A:A),""))</f>
      </c>
      <c r="D554">
        <f>IF(B554="","",IFERROR(XLOOKUP(B554,Team!B:B,Team!D:D),""))</f>
      </c>
      <c r="G554">
        <f>IF(B554="","",E554+F554)</f>
      </c>
    </row>
    <row r="555">
      <c r="C555">
        <f>IF(B555="","",IFERROR(XLOOKUP(B555,Team!B:B,Team!A:A),""))</f>
      </c>
      <c r="D555">
        <f>IF(B555="","",IFERROR(XLOOKUP(B555,Team!B:B,Team!D:D),""))</f>
      </c>
      <c r="G555">
        <f>IF(B555="","",E555+F555)</f>
      </c>
    </row>
    <row r="556">
      <c r="C556">
        <f>IF(B556="","",IFERROR(XLOOKUP(B556,Team!B:B,Team!A:A),""))</f>
      </c>
      <c r="D556">
        <f>IF(B556="","",IFERROR(XLOOKUP(B556,Team!B:B,Team!D:D),""))</f>
      </c>
      <c r="G556">
        <f>IF(B556="","",E556+F556)</f>
      </c>
    </row>
    <row r="557">
      <c r="C557">
        <f>IF(B557="","",IFERROR(XLOOKUP(B557,Team!B:B,Team!A:A),""))</f>
      </c>
      <c r="D557">
        <f>IF(B557="","",IFERROR(XLOOKUP(B557,Team!B:B,Team!D:D),""))</f>
      </c>
      <c r="G557">
        <f>IF(B557="","",E557+F557)</f>
      </c>
    </row>
    <row r="558">
      <c r="C558">
        <f>IF(B558="","",IFERROR(XLOOKUP(B558,Team!B:B,Team!A:A),""))</f>
      </c>
      <c r="D558">
        <f>IF(B558="","",IFERROR(XLOOKUP(B558,Team!B:B,Team!D:D),""))</f>
      </c>
      <c r="G558">
        <f>IF(B558="","",E558+F558)</f>
      </c>
    </row>
    <row r="559">
      <c r="C559">
        <f>IF(B559="","",IFERROR(XLOOKUP(B559,Team!B:B,Team!A:A),""))</f>
      </c>
      <c r="D559">
        <f>IF(B559="","",IFERROR(XLOOKUP(B559,Team!B:B,Team!D:D),""))</f>
      </c>
      <c r="G559">
        <f>IF(B559="","",E559+F559)</f>
      </c>
    </row>
    <row r="560">
      <c r="C560">
        <f>IF(B560="","",IFERROR(XLOOKUP(B560,Team!B:B,Team!A:A),""))</f>
      </c>
      <c r="D560">
        <f>IF(B560="","",IFERROR(XLOOKUP(B560,Team!B:B,Team!D:D),""))</f>
      </c>
      <c r="G560">
        <f>IF(B560="","",E560+F560)</f>
      </c>
    </row>
    <row r="561">
      <c r="C561">
        <f>IF(B561="","",IFERROR(XLOOKUP(B561,Team!B:B,Team!A:A),""))</f>
      </c>
      <c r="D561">
        <f>IF(B561="","",IFERROR(XLOOKUP(B561,Team!B:B,Team!D:D),""))</f>
      </c>
      <c r="G561">
        <f>IF(B561="","",E561+F561)</f>
      </c>
    </row>
    <row r="562">
      <c r="C562">
        <f>IF(B562="","",IFERROR(XLOOKUP(B562,Team!B:B,Team!A:A),""))</f>
      </c>
      <c r="D562">
        <f>IF(B562="","",IFERROR(XLOOKUP(B562,Team!B:B,Team!D:D),""))</f>
      </c>
      <c r="G562">
        <f>IF(B562="","",E562+F562)</f>
      </c>
    </row>
    <row r="563">
      <c r="C563">
        <f>IF(B563="","",IFERROR(XLOOKUP(B563,Team!B:B,Team!A:A),""))</f>
      </c>
      <c r="D563">
        <f>IF(B563="","",IFERROR(XLOOKUP(B563,Team!B:B,Team!D:D),""))</f>
      </c>
      <c r="G563">
        <f>IF(B563="","",E563+F563)</f>
      </c>
    </row>
    <row r="564">
      <c r="C564">
        <f>IF(B564="","",IFERROR(XLOOKUP(B564,Team!B:B,Team!A:A),""))</f>
      </c>
      <c r="D564">
        <f>IF(B564="","",IFERROR(XLOOKUP(B564,Team!B:B,Team!D:D),""))</f>
      </c>
      <c r="G564">
        <f>IF(B564="","",E564+F564)</f>
      </c>
    </row>
    <row r="565">
      <c r="C565">
        <f>IF(B565="","",IFERROR(XLOOKUP(B565,Team!B:B,Team!A:A),""))</f>
      </c>
      <c r="D565">
        <f>IF(B565="","",IFERROR(XLOOKUP(B565,Team!B:B,Team!D:D),""))</f>
      </c>
      <c r="G565">
        <f>IF(B565="","",E565+F565)</f>
      </c>
    </row>
    <row r="566">
      <c r="C566">
        <f>IF(B566="","",IFERROR(XLOOKUP(B566,Team!B:B,Team!A:A),""))</f>
      </c>
      <c r="D566">
        <f>IF(B566="","",IFERROR(XLOOKUP(B566,Team!B:B,Team!D:D),""))</f>
      </c>
      <c r="G566">
        <f>IF(B566="","",E566+F566)</f>
      </c>
    </row>
    <row r="567">
      <c r="C567">
        <f>IF(B567="","",IFERROR(XLOOKUP(B567,Team!B:B,Team!A:A),""))</f>
      </c>
      <c r="D567">
        <f>IF(B567="","",IFERROR(XLOOKUP(B567,Team!B:B,Team!D:D),""))</f>
      </c>
      <c r="G567">
        <f>IF(B567="","",E567+F567)</f>
      </c>
    </row>
    <row r="568">
      <c r="C568">
        <f>IF(B568="","",IFERROR(XLOOKUP(B568,Team!B:B,Team!A:A),""))</f>
      </c>
      <c r="D568">
        <f>IF(B568="","",IFERROR(XLOOKUP(B568,Team!B:B,Team!D:D),""))</f>
      </c>
      <c r="G568">
        <f>IF(B568="","",E568+F568)</f>
      </c>
    </row>
    <row r="569">
      <c r="C569">
        <f>IF(B569="","",IFERROR(XLOOKUP(B569,Team!B:B,Team!A:A),""))</f>
      </c>
      <c r="D569">
        <f>IF(B569="","",IFERROR(XLOOKUP(B569,Team!B:B,Team!D:D),""))</f>
      </c>
      <c r="G569">
        <f>IF(B569="","",E569+F569)</f>
      </c>
    </row>
    <row r="570">
      <c r="C570">
        <f>IF(B570="","",IFERROR(XLOOKUP(B570,Team!B:B,Team!A:A),""))</f>
      </c>
      <c r="D570">
        <f>IF(B570="","",IFERROR(XLOOKUP(B570,Team!B:B,Team!D:D),""))</f>
      </c>
      <c r="G570">
        <f>IF(B570="","",E570+F570)</f>
      </c>
    </row>
    <row r="571">
      <c r="C571">
        <f>IF(B571="","",IFERROR(XLOOKUP(B571,Team!B:B,Team!A:A),""))</f>
      </c>
      <c r="D571">
        <f>IF(B571="","",IFERROR(XLOOKUP(B571,Team!B:B,Team!D:D),""))</f>
      </c>
      <c r="G571">
        <f>IF(B571="","",E571+F571)</f>
      </c>
    </row>
    <row r="572">
      <c r="C572">
        <f>IF(B572="","",IFERROR(XLOOKUP(B572,Team!B:B,Team!A:A),""))</f>
      </c>
      <c r="D572">
        <f>IF(B572="","",IFERROR(XLOOKUP(B572,Team!B:B,Team!D:D),""))</f>
      </c>
      <c r="G572">
        <f>IF(B572="","",E572+F572)</f>
      </c>
    </row>
    <row r="573">
      <c r="C573">
        <f>IF(B573="","",IFERROR(XLOOKUP(B573,Team!B:B,Team!A:A),""))</f>
      </c>
      <c r="D573">
        <f>IF(B573="","",IFERROR(XLOOKUP(B573,Team!B:B,Team!D:D),""))</f>
      </c>
      <c r="G573">
        <f>IF(B573="","",E573+F573)</f>
      </c>
    </row>
    <row r="574">
      <c r="C574">
        <f>IF(B574="","",IFERROR(XLOOKUP(B574,Team!B:B,Team!A:A),""))</f>
      </c>
      <c r="D574">
        <f>IF(B574="","",IFERROR(XLOOKUP(B574,Team!B:B,Team!D:D),""))</f>
      </c>
      <c r="G574">
        <f>IF(B574="","",E574+F574)</f>
      </c>
    </row>
    <row r="575">
      <c r="C575">
        <f>IF(B575="","",IFERROR(XLOOKUP(B575,Team!B:B,Team!A:A),""))</f>
      </c>
      <c r="D575">
        <f>IF(B575="","",IFERROR(XLOOKUP(B575,Team!B:B,Team!D:D),""))</f>
      </c>
      <c r="G575">
        <f>IF(B575="","",E575+F575)</f>
      </c>
    </row>
    <row r="576">
      <c r="C576">
        <f>IF(B576="","",IFERROR(XLOOKUP(B576,Team!B:B,Team!A:A),""))</f>
      </c>
      <c r="D576">
        <f>IF(B576="","",IFERROR(XLOOKUP(B576,Team!B:B,Team!D:D),""))</f>
      </c>
      <c r="G576">
        <f>IF(B576="","",E576+F576)</f>
      </c>
    </row>
    <row r="577">
      <c r="C577">
        <f>IF(B577="","",IFERROR(XLOOKUP(B577,Team!B:B,Team!A:A),""))</f>
      </c>
      <c r="D577">
        <f>IF(B577="","",IFERROR(XLOOKUP(B577,Team!B:B,Team!D:D),""))</f>
      </c>
      <c r="G577">
        <f>IF(B577="","",E577+F577)</f>
      </c>
    </row>
    <row r="578">
      <c r="C578">
        <f>IF(B578="","",IFERROR(XLOOKUP(B578,Team!B:B,Team!A:A),""))</f>
      </c>
      <c r="D578">
        <f>IF(B578="","",IFERROR(XLOOKUP(B578,Team!B:B,Team!D:D),""))</f>
      </c>
      <c r="G578">
        <f>IF(B578="","",E578+F578)</f>
      </c>
    </row>
    <row r="579">
      <c r="C579">
        <f>IF(B579="","",IFERROR(XLOOKUP(B579,Team!B:B,Team!A:A),""))</f>
      </c>
      <c r="D579">
        <f>IF(B579="","",IFERROR(XLOOKUP(B579,Team!B:B,Team!D:D),""))</f>
      </c>
      <c r="G579">
        <f>IF(B579="","",E579+F579)</f>
      </c>
    </row>
    <row r="580">
      <c r="C580">
        <f>IF(B580="","",IFERROR(XLOOKUP(B580,Team!B:B,Team!A:A),""))</f>
      </c>
      <c r="D580">
        <f>IF(B580="","",IFERROR(XLOOKUP(B580,Team!B:B,Team!D:D),""))</f>
      </c>
      <c r="G580">
        <f>IF(B580="","",E580+F580)</f>
      </c>
    </row>
    <row r="581">
      <c r="C581">
        <f>IF(B581="","",IFERROR(XLOOKUP(B581,Team!B:B,Team!A:A),""))</f>
      </c>
      <c r="D581">
        <f>IF(B581="","",IFERROR(XLOOKUP(B581,Team!B:B,Team!D:D),""))</f>
      </c>
      <c r="G581">
        <f>IF(B581="","",E581+F581)</f>
      </c>
    </row>
    <row r="582">
      <c r="C582">
        <f>IF(B582="","",IFERROR(XLOOKUP(B582,Team!B:B,Team!A:A),""))</f>
      </c>
      <c r="D582">
        <f>IF(B582="","",IFERROR(XLOOKUP(B582,Team!B:B,Team!D:D),""))</f>
      </c>
      <c r="G582">
        <f>IF(B582="","",E582+F582)</f>
      </c>
    </row>
    <row r="583">
      <c r="C583">
        <f>IF(B583="","",IFERROR(XLOOKUP(B583,Team!B:B,Team!A:A),""))</f>
      </c>
      <c r="D583">
        <f>IF(B583="","",IFERROR(XLOOKUP(B583,Team!B:B,Team!D:D),""))</f>
      </c>
      <c r="G583">
        <f>IF(B583="","",E583+F583)</f>
      </c>
    </row>
    <row r="584">
      <c r="C584">
        <f>IF(B584="","",IFERROR(XLOOKUP(B584,Team!B:B,Team!A:A),""))</f>
      </c>
      <c r="D584">
        <f>IF(B584="","",IFERROR(XLOOKUP(B584,Team!B:B,Team!D:D),""))</f>
      </c>
      <c r="G584">
        <f>IF(B584="","",E584+F584)</f>
      </c>
    </row>
    <row r="585">
      <c r="C585">
        <f>IF(B585="","",IFERROR(XLOOKUP(B585,Team!B:B,Team!A:A),""))</f>
      </c>
      <c r="D585">
        <f>IF(B585="","",IFERROR(XLOOKUP(B585,Team!B:B,Team!D:D),""))</f>
      </c>
      <c r="G585">
        <f>IF(B585="","",E585+F585)</f>
      </c>
    </row>
    <row r="586">
      <c r="C586">
        <f>IF(B586="","",IFERROR(XLOOKUP(B586,Team!B:B,Team!A:A),""))</f>
      </c>
      <c r="D586">
        <f>IF(B586="","",IFERROR(XLOOKUP(B586,Team!B:B,Team!D:D),""))</f>
      </c>
      <c r="G586">
        <f>IF(B586="","",E586+F586)</f>
      </c>
    </row>
    <row r="587">
      <c r="C587">
        <f>IF(B587="","",IFERROR(XLOOKUP(B587,Team!B:B,Team!A:A),""))</f>
      </c>
      <c r="D587">
        <f>IF(B587="","",IFERROR(XLOOKUP(B587,Team!B:B,Team!D:D),""))</f>
      </c>
      <c r="G587">
        <f>IF(B587="","",E587+F587)</f>
      </c>
    </row>
    <row r="588">
      <c r="C588">
        <f>IF(B588="","",IFERROR(XLOOKUP(B588,Team!B:B,Team!A:A),""))</f>
      </c>
      <c r="D588">
        <f>IF(B588="","",IFERROR(XLOOKUP(B588,Team!B:B,Team!D:D),""))</f>
      </c>
      <c r="G588">
        <f>IF(B588="","",E588+F588)</f>
      </c>
    </row>
    <row r="589">
      <c r="C589">
        <f>IF(B589="","",IFERROR(XLOOKUP(B589,Team!B:B,Team!A:A),""))</f>
      </c>
      <c r="D589">
        <f>IF(B589="","",IFERROR(XLOOKUP(B589,Team!B:B,Team!D:D),""))</f>
      </c>
      <c r="G589">
        <f>IF(B589="","",E589+F589)</f>
      </c>
    </row>
    <row r="590">
      <c r="C590">
        <f>IF(B590="","",IFERROR(XLOOKUP(B590,Team!B:B,Team!A:A),""))</f>
      </c>
      <c r="D590">
        <f>IF(B590="","",IFERROR(XLOOKUP(B590,Team!B:B,Team!D:D),""))</f>
      </c>
      <c r="G590">
        <f>IF(B590="","",E590+F590)</f>
      </c>
    </row>
    <row r="591">
      <c r="C591">
        <f>IF(B591="","",IFERROR(XLOOKUP(B591,Team!B:B,Team!A:A),""))</f>
      </c>
      <c r="D591">
        <f>IF(B591="","",IFERROR(XLOOKUP(B591,Team!B:B,Team!D:D),""))</f>
      </c>
      <c r="G591">
        <f>IF(B591="","",E591+F591)</f>
      </c>
    </row>
    <row r="592">
      <c r="C592">
        <f>IF(B592="","",IFERROR(XLOOKUP(B592,Team!B:B,Team!A:A),""))</f>
      </c>
      <c r="D592">
        <f>IF(B592="","",IFERROR(XLOOKUP(B592,Team!B:B,Team!D:D),""))</f>
      </c>
      <c r="G592">
        <f>IF(B592="","",E592+F592)</f>
      </c>
    </row>
    <row r="593">
      <c r="C593">
        <f>IF(B593="","",IFERROR(XLOOKUP(B593,Team!B:B,Team!A:A),""))</f>
      </c>
      <c r="D593">
        <f>IF(B593="","",IFERROR(XLOOKUP(B593,Team!B:B,Team!D:D),""))</f>
      </c>
      <c r="G593">
        <f>IF(B593="","",E593+F593)</f>
      </c>
    </row>
    <row r="594">
      <c r="C594">
        <f>IF(B594="","",IFERROR(XLOOKUP(B594,Team!B:B,Team!A:A),""))</f>
      </c>
      <c r="D594">
        <f>IF(B594="","",IFERROR(XLOOKUP(B594,Team!B:B,Team!D:D),""))</f>
      </c>
      <c r="G594">
        <f>IF(B594="","",E594+F594)</f>
      </c>
    </row>
    <row r="595">
      <c r="C595">
        <f>IF(B595="","",IFERROR(XLOOKUP(B595,Team!B:B,Team!A:A),""))</f>
      </c>
      <c r="D595">
        <f>IF(B595="","",IFERROR(XLOOKUP(B595,Team!B:B,Team!D:D),""))</f>
      </c>
      <c r="G595">
        <f>IF(B595="","",E595+F595)</f>
      </c>
    </row>
    <row r="596">
      <c r="C596">
        <f>IF(B596="","",IFERROR(XLOOKUP(B596,Team!B:B,Team!A:A),""))</f>
      </c>
      <c r="D596">
        <f>IF(B596="","",IFERROR(XLOOKUP(B596,Team!B:B,Team!D:D),""))</f>
      </c>
      <c r="G596">
        <f>IF(B596="","",E596+F596)</f>
      </c>
    </row>
    <row r="597">
      <c r="C597">
        <f>IF(B597="","",IFERROR(XLOOKUP(B597,Team!B:B,Team!A:A),""))</f>
      </c>
      <c r="D597">
        <f>IF(B597="","",IFERROR(XLOOKUP(B597,Team!B:B,Team!D:D),""))</f>
      </c>
      <c r="G597">
        <f>IF(B597="","",E597+F597)</f>
      </c>
    </row>
    <row r="598">
      <c r="C598">
        <f>IF(B598="","",IFERROR(XLOOKUP(B598,Team!B:B,Team!A:A),""))</f>
      </c>
      <c r="D598">
        <f>IF(B598="","",IFERROR(XLOOKUP(B598,Team!B:B,Team!D:D),""))</f>
      </c>
      <c r="G598">
        <f>IF(B598="","",E598+F598)</f>
      </c>
    </row>
    <row r="599">
      <c r="C599">
        <f>IF(B599="","",IFERROR(XLOOKUP(B599,Team!B:B,Team!A:A),""))</f>
      </c>
      <c r="D599">
        <f>IF(B599="","",IFERROR(XLOOKUP(B599,Team!B:B,Team!D:D),""))</f>
      </c>
      <c r="G599">
        <f>IF(B599="","",E599+F599)</f>
      </c>
    </row>
    <row r="600">
      <c r="C600">
        <f>IF(B600="","",IFERROR(XLOOKUP(B600,Team!B:B,Team!A:A),""))</f>
      </c>
      <c r="D600">
        <f>IF(B600="","",IFERROR(XLOOKUP(B600,Team!B:B,Team!D:D),""))</f>
      </c>
      <c r="G600">
        <f>IF(B600="","",E600+F600)</f>
      </c>
    </row>
  </sheetData>
  <ignoredErrors>
    <ignoredError numberStoredAsText="1" sqref="A1:H6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03"/>
  <sheetViews>
    <sheetView workbookViewId="0"/>
  </sheetViews>
  <cols>
    <col min="1" max="1" width="28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2.83203125" customWidth="1"/>
    <col min="8" max="8" width="16.83203125" customWidth="1"/>
    <col min="9" max="9" width="26.83203125" customWidth="1"/>
  </cols>
  <sheetData>
    <row r="1">
      <c r="A1" t="str">
        <v>Selected Week</v>
      </c>
      <c r="B1" t="str">
        <v>2026-03-09</v>
      </c>
    </row>
    <row r="3">
      <c r="A3" t="str">
        <v>Name</v>
      </c>
      <c r="B3" t="str">
        <v>Role</v>
      </c>
      <c r="C3" t="str">
        <v>Target</v>
      </c>
      <c r="D3" t="str">
        <v>Tasks</v>
      </c>
      <c r="E3" t="str">
        <v>Reviews</v>
      </c>
      <c r="F3" t="str">
        <v>Total</v>
      </c>
      <c r="G3" t="str">
        <v>Status</v>
      </c>
      <c r="H3" t="str">
        <v>Feather</v>
      </c>
      <c r="I3" t="str">
        <v>Email</v>
      </c>
    </row>
    <row r="4">
      <c r="A4">
        <f>FILTER(Team!A2:A,Team!A2:A&lt;&gt;"")</f>
      </c>
      <c r="B4">
        <f>IF(A4="","",XLOOKUP(A4,Team!A:A,Team!D:D))</f>
      </c>
      <c r="C4">
        <f>IF(A4="","",XLOOKUP(A4,Team!A:A,Team!F:F))</f>
      </c>
      <c r="D4">
        <f>IF(A4="","",IFERROR(SUMIFS(Weekly_Log!E:E,Weekly_Log!A:A,$B$1,Weekly_Log!B:B,$I4),0))</f>
      </c>
      <c r="E4">
        <f>IF(A4="","",IFERROR(SUMIFS(Weekly_Log!F:F,Weekly_Log!A:A,$B$1,Weekly_Log!B:B,$I4),0))</f>
      </c>
      <c r="F4">
        <f>IF(A4="","",D4+E4)</f>
      </c>
      <c r="G4">
        <f>IF(A4="","",IF(F4&gt;=C4,"On Track",IF(F4=0,"No Output","Behind")))</f>
      </c>
      <c r="H4">
        <f>IF(A4="","",HYPERLINK(XLOOKUP(A4,Team!A:A,Team!C:C),"Open Feather"))</f>
      </c>
      <c r="I4">
        <f>IF(A4="","",XLOOKUP(A4,Team!A:A,Team!B:B))</f>
      </c>
    </row>
    <row r="5">
      <c r="A5" t="str">
        <v/>
      </c>
      <c r="B5">
        <f>IF(A5="","",XLOOKUP(A5,Team!A:A,Team!D:D))</f>
      </c>
      <c r="C5">
        <f>IF(A5="","",XLOOKUP(A5,Team!A:A,Team!F:F))</f>
      </c>
      <c r="D5">
        <f>IF(A5="","",IFERROR(SUMIFS(Weekly_Log!E:E,Weekly_Log!A:A,$B$1,Weekly_Log!B:B,$I5),0))</f>
      </c>
      <c r="E5">
        <f>IF(A5="","",IFERROR(SUMIFS(Weekly_Log!F:F,Weekly_Log!A:A,$B$1,Weekly_Log!B:B,$I5),0))</f>
      </c>
      <c r="F5">
        <f>IF(A5="","",D5+E5)</f>
      </c>
      <c r="G5">
        <f>IF(A5="","",IF(F5&gt;=C5,"On Track",IF(F5=0,"No Output","Behind")))</f>
      </c>
      <c r="H5">
        <f>IF(A5="","",HYPERLINK(XLOOKUP(A5,Team!A:A,Team!C:C),"Open Feather"))</f>
      </c>
      <c r="I5">
        <f>IF(A5="","",XLOOKUP(A5,Team!A:A,Team!B:B))</f>
      </c>
    </row>
    <row r="6">
      <c r="A6" t="str">
        <v/>
      </c>
      <c r="B6">
        <f>IF(A6="","",XLOOKUP(A6,Team!A:A,Team!D:D))</f>
      </c>
      <c r="C6">
        <f>IF(A6="","",XLOOKUP(A6,Team!A:A,Team!F:F))</f>
      </c>
      <c r="D6">
        <f>IF(A6="","",IFERROR(SUMIFS(Weekly_Log!E:E,Weekly_Log!A:A,$B$1,Weekly_Log!B:B,$I6),0))</f>
      </c>
      <c r="E6">
        <f>IF(A6="","",IFERROR(SUMIFS(Weekly_Log!F:F,Weekly_Log!A:A,$B$1,Weekly_Log!B:B,$I6),0))</f>
      </c>
      <c r="F6">
        <f>IF(A6="","",D6+E6)</f>
      </c>
      <c r="G6">
        <f>IF(A6="","",IF(F6&gt;=C6,"On Track",IF(F6=0,"No Output","Behind")))</f>
      </c>
      <c r="H6">
        <f>IF(A6="","",HYPERLINK(XLOOKUP(A6,Team!A:A,Team!C:C),"Open Feather"))</f>
      </c>
      <c r="I6">
        <f>IF(A6="","",XLOOKUP(A6,Team!A:A,Team!B:B))</f>
      </c>
    </row>
    <row r="7">
      <c r="A7" t="str">
        <v/>
      </c>
      <c r="B7">
        <f>IF(A7="","",XLOOKUP(A7,Team!A:A,Team!D:D))</f>
      </c>
      <c r="C7">
        <f>IF(A7="","",XLOOKUP(A7,Team!A:A,Team!F:F))</f>
      </c>
      <c r="D7">
        <f>IF(A7="","",IFERROR(SUMIFS(Weekly_Log!E:E,Weekly_Log!A:A,$B$1,Weekly_Log!B:B,$I7),0))</f>
      </c>
      <c r="E7">
        <f>IF(A7="","",IFERROR(SUMIFS(Weekly_Log!F:F,Weekly_Log!A:A,$B$1,Weekly_Log!B:B,$I7),0))</f>
      </c>
      <c r="F7">
        <f>IF(A7="","",D7+E7)</f>
      </c>
      <c r="G7">
        <f>IF(A7="","",IF(F7&gt;=C7,"On Track",IF(F7=0,"No Output","Behind")))</f>
      </c>
      <c r="H7">
        <f>IF(A7="","",HYPERLINK(XLOOKUP(A7,Team!A:A,Team!C:C),"Open Feather"))</f>
      </c>
      <c r="I7">
        <f>IF(A7="","",XLOOKUP(A7,Team!A:A,Team!B:B))</f>
      </c>
    </row>
    <row r="8">
      <c r="A8" t="str">
        <v/>
      </c>
      <c r="B8">
        <f>IF(A8="","",XLOOKUP(A8,Team!A:A,Team!D:D))</f>
      </c>
      <c r="C8">
        <f>IF(A8="","",XLOOKUP(A8,Team!A:A,Team!F:F))</f>
      </c>
      <c r="D8">
        <f>IF(A8="","",IFERROR(SUMIFS(Weekly_Log!E:E,Weekly_Log!A:A,$B$1,Weekly_Log!B:B,$I8),0))</f>
      </c>
      <c r="E8">
        <f>IF(A8="","",IFERROR(SUMIFS(Weekly_Log!F:F,Weekly_Log!A:A,$B$1,Weekly_Log!B:B,$I8),0))</f>
      </c>
      <c r="F8">
        <f>IF(A8="","",D8+E8)</f>
      </c>
      <c r="G8">
        <f>IF(A8="","",IF(F8&gt;=C8,"On Track",IF(F8=0,"No Output","Behind")))</f>
      </c>
      <c r="H8">
        <f>IF(A8="","",HYPERLINK(XLOOKUP(A8,Team!A:A,Team!C:C),"Open Feather"))</f>
      </c>
      <c r="I8">
        <f>IF(A8="","",XLOOKUP(A8,Team!A:A,Team!B:B))</f>
      </c>
    </row>
    <row r="9">
      <c r="A9" t="str">
        <v/>
      </c>
      <c r="B9">
        <f>IF(A9="","",XLOOKUP(A9,Team!A:A,Team!D:D))</f>
      </c>
      <c r="C9">
        <f>IF(A9="","",XLOOKUP(A9,Team!A:A,Team!F:F))</f>
      </c>
      <c r="D9">
        <f>IF(A9="","",IFERROR(SUMIFS(Weekly_Log!E:E,Weekly_Log!A:A,$B$1,Weekly_Log!B:B,$I9),0))</f>
      </c>
      <c r="E9">
        <f>IF(A9="","",IFERROR(SUMIFS(Weekly_Log!F:F,Weekly_Log!A:A,$B$1,Weekly_Log!B:B,$I9),0))</f>
      </c>
      <c r="F9">
        <f>IF(A9="","",D9+E9)</f>
      </c>
      <c r="G9">
        <f>IF(A9="","",IF(F9&gt;=C9,"On Track",IF(F9=0,"No Output","Behind")))</f>
      </c>
      <c r="H9">
        <f>IF(A9="","",HYPERLINK(XLOOKUP(A9,Team!A:A,Team!C:C),"Open Feather"))</f>
      </c>
      <c r="I9">
        <f>IF(A9="","",XLOOKUP(A9,Team!A:A,Team!B:B))</f>
      </c>
    </row>
    <row r="10">
      <c r="A10" t="str">
        <v/>
      </c>
      <c r="B10">
        <f>IF(A10="","",XLOOKUP(A10,Team!A:A,Team!D:D))</f>
      </c>
      <c r="C10">
        <f>IF(A10="","",XLOOKUP(A10,Team!A:A,Team!F:F))</f>
      </c>
      <c r="D10">
        <f>IF(A10="","",IFERROR(SUMIFS(Weekly_Log!E:E,Weekly_Log!A:A,$B$1,Weekly_Log!B:B,$I10),0))</f>
      </c>
      <c r="E10">
        <f>IF(A10="","",IFERROR(SUMIFS(Weekly_Log!F:F,Weekly_Log!A:A,$B$1,Weekly_Log!B:B,$I10),0))</f>
      </c>
      <c r="F10">
        <f>IF(A10="","",D10+E10)</f>
      </c>
      <c r="G10">
        <f>IF(A10="","",IF(F10&gt;=C10,"On Track",IF(F10=0,"No Output","Behind")))</f>
      </c>
      <c r="H10">
        <f>IF(A10="","",HYPERLINK(XLOOKUP(A10,Team!A:A,Team!C:C),"Open Feather"))</f>
      </c>
      <c r="I10">
        <f>IF(A10="","",XLOOKUP(A10,Team!A:A,Team!B:B))</f>
      </c>
    </row>
    <row r="11">
      <c r="A11" t="str">
        <v/>
      </c>
      <c r="B11">
        <f>IF(A11="","",XLOOKUP(A11,Team!A:A,Team!D:D))</f>
      </c>
      <c r="C11">
        <f>IF(A11="","",XLOOKUP(A11,Team!A:A,Team!F:F))</f>
      </c>
      <c r="D11">
        <f>IF(A11="","",IFERROR(SUMIFS(Weekly_Log!E:E,Weekly_Log!A:A,$B$1,Weekly_Log!B:B,$I11),0))</f>
      </c>
      <c r="E11">
        <f>IF(A11="","",IFERROR(SUMIFS(Weekly_Log!F:F,Weekly_Log!A:A,$B$1,Weekly_Log!B:B,$I11),0))</f>
      </c>
      <c r="F11">
        <f>IF(A11="","",D11+E11)</f>
      </c>
      <c r="G11">
        <f>IF(A11="","",IF(F11&gt;=C11,"On Track",IF(F11=0,"No Output","Behind")))</f>
      </c>
      <c r="H11">
        <f>IF(A11="","",HYPERLINK(XLOOKUP(A11,Team!A:A,Team!C:C),"Open Feather"))</f>
      </c>
      <c r="I11">
        <f>IF(A11="","",XLOOKUP(A11,Team!A:A,Team!B:B))</f>
      </c>
    </row>
    <row r="12">
      <c r="A12" t="str">
        <v/>
      </c>
      <c r="B12">
        <f>IF(A12="","",XLOOKUP(A12,Team!A:A,Team!D:D))</f>
      </c>
      <c r="C12">
        <f>IF(A12="","",XLOOKUP(A12,Team!A:A,Team!F:F))</f>
      </c>
      <c r="D12">
        <f>IF(A12="","",IFERROR(SUMIFS(Weekly_Log!E:E,Weekly_Log!A:A,$B$1,Weekly_Log!B:B,$I12),0))</f>
      </c>
      <c r="E12">
        <f>IF(A12="","",IFERROR(SUMIFS(Weekly_Log!F:F,Weekly_Log!A:A,$B$1,Weekly_Log!B:B,$I12),0))</f>
      </c>
      <c r="F12">
        <f>IF(A12="","",D12+E12)</f>
      </c>
      <c r="G12">
        <f>IF(A12="","",IF(F12&gt;=C12,"On Track",IF(F12=0,"No Output","Behind")))</f>
      </c>
      <c r="H12">
        <f>IF(A12="","",HYPERLINK(XLOOKUP(A12,Team!A:A,Team!C:C),"Open Feather"))</f>
      </c>
      <c r="I12">
        <f>IF(A12="","",XLOOKUP(A12,Team!A:A,Team!B:B))</f>
      </c>
    </row>
    <row r="13">
      <c r="A13" t="str">
        <v/>
      </c>
      <c r="B13">
        <f>IF(A13="","",XLOOKUP(A13,Team!A:A,Team!D:D))</f>
      </c>
      <c r="C13">
        <f>IF(A13="","",XLOOKUP(A13,Team!A:A,Team!F:F))</f>
      </c>
      <c r="D13">
        <f>IF(A13="","",IFERROR(SUMIFS(Weekly_Log!E:E,Weekly_Log!A:A,$B$1,Weekly_Log!B:B,$I13),0))</f>
      </c>
      <c r="E13">
        <f>IF(A13="","",IFERROR(SUMIFS(Weekly_Log!F:F,Weekly_Log!A:A,$B$1,Weekly_Log!B:B,$I13),0))</f>
      </c>
      <c r="F13">
        <f>IF(A13="","",D13+E13)</f>
      </c>
      <c r="G13">
        <f>IF(A13="","",IF(F13&gt;=C13,"On Track",IF(F13=0,"No Output","Behind")))</f>
      </c>
      <c r="H13">
        <f>IF(A13="","",HYPERLINK(XLOOKUP(A13,Team!A:A,Team!C:C),"Open Feather"))</f>
      </c>
      <c r="I13">
        <f>IF(A13="","",XLOOKUP(A13,Team!A:A,Team!B:B))</f>
      </c>
    </row>
    <row r="14">
      <c r="A14" t="str">
        <v/>
      </c>
      <c r="B14">
        <f>IF(A14="","",XLOOKUP(A14,Team!A:A,Team!D:D))</f>
      </c>
      <c r="C14">
        <f>IF(A14="","",XLOOKUP(A14,Team!A:A,Team!F:F))</f>
      </c>
      <c r="D14">
        <f>IF(A14="","",IFERROR(SUMIFS(Weekly_Log!E:E,Weekly_Log!A:A,$B$1,Weekly_Log!B:B,$I14),0))</f>
      </c>
      <c r="E14">
        <f>IF(A14="","",IFERROR(SUMIFS(Weekly_Log!F:F,Weekly_Log!A:A,$B$1,Weekly_Log!B:B,$I14),0))</f>
      </c>
      <c r="F14">
        <f>IF(A14="","",D14+E14)</f>
      </c>
      <c r="G14">
        <f>IF(A14="","",IF(F14&gt;=C14,"On Track",IF(F14=0,"No Output","Behind")))</f>
      </c>
      <c r="H14">
        <f>IF(A14="","",HYPERLINK(XLOOKUP(A14,Team!A:A,Team!C:C),"Open Feather"))</f>
      </c>
      <c r="I14">
        <f>IF(A14="","",XLOOKUP(A14,Team!A:A,Team!B:B))</f>
      </c>
    </row>
    <row r="15">
      <c r="A15" t="str">
        <v/>
      </c>
      <c r="B15">
        <f>IF(A15="","",XLOOKUP(A15,Team!A:A,Team!D:D))</f>
      </c>
      <c r="C15">
        <f>IF(A15="","",XLOOKUP(A15,Team!A:A,Team!F:F))</f>
      </c>
      <c r="D15">
        <f>IF(A15="","",IFERROR(SUMIFS(Weekly_Log!E:E,Weekly_Log!A:A,$B$1,Weekly_Log!B:B,$I15),0))</f>
      </c>
      <c r="E15">
        <f>IF(A15="","",IFERROR(SUMIFS(Weekly_Log!F:F,Weekly_Log!A:A,$B$1,Weekly_Log!B:B,$I15),0))</f>
      </c>
      <c r="F15">
        <f>IF(A15="","",D15+E15)</f>
      </c>
      <c r="G15">
        <f>IF(A15="","",IF(F15&gt;=C15,"On Track",IF(F15=0,"No Output","Behind")))</f>
      </c>
      <c r="H15">
        <f>IF(A15="","",HYPERLINK(XLOOKUP(A15,Team!A:A,Team!C:C),"Open Feather"))</f>
      </c>
      <c r="I15">
        <f>IF(A15="","",XLOOKUP(A15,Team!A:A,Team!B:B))</f>
      </c>
    </row>
    <row r="16">
      <c r="A16" t="str">
        <v/>
      </c>
      <c r="B16">
        <f>IF(A16="","",XLOOKUP(A16,Team!A:A,Team!D:D))</f>
      </c>
      <c r="C16">
        <f>IF(A16="","",XLOOKUP(A16,Team!A:A,Team!F:F))</f>
      </c>
      <c r="D16">
        <f>IF(A16="","",IFERROR(SUMIFS(Weekly_Log!E:E,Weekly_Log!A:A,$B$1,Weekly_Log!B:B,$I16),0))</f>
      </c>
      <c r="E16">
        <f>IF(A16="","",IFERROR(SUMIFS(Weekly_Log!F:F,Weekly_Log!A:A,$B$1,Weekly_Log!B:B,$I16),0))</f>
      </c>
      <c r="F16">
        <f>IF(A16="","",D16+E16)</f>
      </c>
      <c r="G16">
        <f>IF(A16="","",IF(F16&gt;=C16,"On Track",IF(F16=0,"No Output","Behind")))</f>
      </c>
      <c r="H16">
        <f>IF(A16="","",HYPERLINK(XLOOKUP(A16,Team!A:A,Team!C:C),"Open Feather"))</f>
      </c>
      <c r="I16">
        <f>IF(A16="","",XLOOKUP(A16,Team!A:A,Team!B:B))</f>
      </c>
    </row>
    <row r="17">
      <c r="A17" t="str">
        <v/>
      </c>
      <c r="B17">
        <f>IF(A17="","",XLOOKUP(A17,Team!A:A,Team!D:D))</f>
      </c>
      <c r="C17">
        <f>IF(A17="","",XLOOKUP(A17,Team!A:A,Team!F:F))</f>
      </c>
      <c r="D17">
        <f>IF(A17="","",IFERROR(SUMIFS(Weekly_Log!E:E,Weekly_Log!A:A,$B$1,Weekly_Log!B:B,$I17),0))</f>
      </c>
      <c r="E17">
        <f>IF(A17="","",IFERROR(SUMIFS(Weekly_Log!F:F,Weekly_Log!A:A,$B$1,Weekly_Log!B:B,$I17),0))</f>
      </c>
      <c r="F17">
        <f>IF(A17="","",D17+E17)</f>
      </c>
      <c r="G17">
        <f>IF(A17="","",IF(F17&gt;=C17,"On Track",IF(F17=0,"No Output","Behind")))</f>
      </c>
      <c r="H17">
        <f>IF(A17="","",HYPERLINK(XLOOKUP(A17,Team!A:A,Team!C:C),"Open Feather"))</f>
      </c>
      <c r="I17">
        <f>IF(A17="","",XLOOKUP(A17,Team!A:A,Team!B:B))</f>
      </c>
    </row>
    <row r="18">
      <c r="A18" t="str">
        <v/>
      </c>
      <c r="B18">
        <f>IF(A18="","",XLOOKUP(A18,Team!A:A,Team!D:D))</f>
      </c>
      <c r="C18">
        <f>IF(A18="","",XLOOKUP(A18,Team!A:A,Team!F:F))</f>
      </c>
      <c r="D18">
        <f>IF(A18="","",IFERROR(SUMIFS(Weekly_Log!E:E,Weekly_Log!A:A,$B$1,Weekly_Log!B:B,$I18),0))</f>
      </c>
      <c r="E18">
        <f>IF(A18="","",IFERROR(SUMIFS(Weekly_Log!F:F,Weekly_Log!A:A,$B$1,Weekly_Log!B:B,$I18),0))</f>
      </c>
      <c r="F18">
        <f>IF(A18="","",D18+E18)</f>
      </c>
      <c r="G18">
        <f>IF(A18="","",IF(F18&gt;=C18,"On Track",IF(F18=0,"No Output","Behind")))</f>
      </c>
      <c r="H18">
        <f>IF(A18="","",HYPERLINK(XLOOKUP(A18,Team!A:A,Team!C:C),"Open Feather"))</f>
      </c>
      <c r="I18">
        <f>IF(A18="","",XLOOKUP(A18,Team!A:A,Team!B:B))</f>
      </c>
    </row>
    <row r="19">
      <c r="A19" t="str">
        <v/>
      </c>
      <c r="B19">
        <f>IF(A19="","",XLOOKUP(A19,Team!A:A,Team!D:D))</f>
      </c>
      <c r="C19">
        <f>IF(A19="","",XLOOKUP(A19,Team!A:A,Team!F:F))</f>
      </c>
      <c r="D19">
        <f>IF(A19="","",IFERROR(SUMIFS(Weekly_Log!E:E,Weekly_Log!A:A,$B$1,Weekly_Log!B:B,$I19),0))</f>
      </c>
      <c r="E19">
        <f>IF(A19="","",IFERROR(SUMIFS(Weekly_Log!F:F,Weekly_Log!A:A,$B$1,Weekly_Log!B:B,$I19),0))</f>
      </c>
      <c r="F19">
        <f>IF(A19="","",D19+E19)</f>
      </c>
      <c r="G19">
        <f>IF(A19="","",IF(F19&gt;=C19,"On Track",IF(F19=0,"No Output","Behind")))</f>
      </c>
      <c r="H19">
        <f>IF(A19="","",HYPERLINK(XLOOKUP(A19,Team!A:A,Team!C:C),"Open Feather"))</f>
      </c>
      <c r="I19">
        <f>IF(A19="","",XLOOKUP(A19,Team!A:A,Team!B:B))</f>
      </c>
    </row>
    <row r="20">
      <c r="A20" t="str">
        <v/>
      </c>
      <c r="B20">
        <f>IF(A20="","",XLOOKUP(A20,Team!A:A,Team!D:D))</f>
      </c>
      <c r="C20">
        <f>IF(A20="","",XLOOKUP(A20,Team!A:A,Team!F:F))</f>
      </c>
      <c r="D20">
        <f>IF(A20="","",IFERROR(SUMIFS(Weekly_Log!E:E,Weekly_Log!A:A,$B$1,Weekly_Log!B:B,$I20),0))</f>
      </c>
      <c r="E20">
        <f>IF(A20="","",IFERROR(SUMIFS(Weekly_Log!F:F,Weekly_Log!A:A,$B$1,Weekly_Log!B:B,$I20),0))</f>
      </c>
      <c r="F20">
        <f>IF(A20="","",D20+E20)</f>
      </c>
      <c r="G20">
        <f>IF(A20="","",IF(F20&gt;=C20,"On Track",IF(F20=0,"No Output","Behind")))</f>
      </c>
      <c r="H20">
        <f>IF(A20="","",HYPERLINK(XLOOKUP(A20,Team!A:A,Team!C:C),"Open Feather"))</f>
      </c>
      <c r="I20">
        <f>IF(A20="","",XLOOKUP(A20,Team!A:A,Team!B:B))</f>
      </c>
    </row>
    <row r="21">
      <c r="A21" t="str">
        <v/>
      </c>
      <c r="B21">
        <f>IF(A21="","",XLOOKUP(A21,Team!A:A,Team!D:D))</f>
      </c>
      <c r="C21">
        <f>IF(A21="","",XLOOKUP(A21,Team!A:A,Team!F:F))</f>
      </c>
      <c r="D21">
        <f>IF(A21="","",IFERROR(SUMIFS(Weekly_Log!E:E,Weekly_Log!A:A,$B$1,Weekly_Log!B:B,$I21),0))</f>
      </c>
      <c r="E21">
        <f>IF(A21="","",IFERROR(SUMIFS(Weekly_Log!F:F,Weekly_Log!A:A,$B$1,Weekly_Log!B:B,$I21),0))</f>
      </c>
      <c r="F21">
        <f>IF(A21="","",D21+E21)</f>
      </c>
      <c r="G21">
        <f>IF(A21="","",IF(F21&gt;=C21,"On Track",IF(F21=0,"No Output","Behind")))</f>
      </c>
      <c r="H21">
        <f>IF(A21="","",HYPERLINK(XLOOKUP(A21,Team!A:A,Team!C:C),"Open Feather"))</f>
      </c>
      <c r="I21">
        <f>IF(A21="","",XLOOKUP(A21,Team!A:A,Team!B:B))</f>
      </c>
    </row>
    <row r="22">
      <c r="A22" t="str">
        <v/>
      </c>
      <c r="B22">
        <f>IF(A22="","",XLOOKUP(A22,Team!A:A,Team!D:D))</f>
      </c>
      <c r="C22">
        <f>IF(A22="","",XLOOKUP(A22,Team!A:A,Team!F:F))</f>
      </c>
      <c r="D22">
        <f>IF(A22="","",IFERROR(SUMIFS(Weekly_Log!E:E,Weekly_Log!A:A,$B$1,Weekly_Log!B:B,$I22),0))</f>
      </c>
      <c r="E22">
        <f>IF(A22="","",IFERROR(SUMIFS(Weekly_Log!F:F,Weekly_Log!A:A,$B$1,Weekly_Log!B:B,$I22),0))</f>
      </c>
      <c r="F22">
        <f>IF(A22="","",D22+E22)</f>
      </c>
      <c r="G22">
        <f>IF(A22="","",IF(F22&gt;=C22,"On Track",IF(F22=0,"No Output","Behind")))</f>
      </c>
      <c r="H22">
        <f>IF(A22="","",HYPERLINK(XLOOKUP(A22,Team!A:A,Team!C:C),"Open Feather"))</f>
      </c>
      <c r="I22">
        <f>IF(A22="","",XLOOKUP(A22,Team!A:A,Team!B:B))</f>
      </c>
    </row>
    <row r="23">
      <c r="A23" t="str">
        <v/>
      </c>
      <c r="B23">
        <f>IF(A23="","",XLOOKUP(A23,Team!A:A,Team!D:D))</f>
      </c>
      <c r="C23">
        <f>IF(A23="","",XLOOKUP(A23,Team!A:A,Team!F:F))</f>
      </c>
      <c r="D23">
        <f>IF(A23="","",IFERROR(SUMIFS(Weekly_Log!E:E,Weekly_Log!A:A,$B$1,Weekly_Log!B:B,$I23),0))</f>
      </c>
      <c r="E23">
        <f>IF(A23="","",IFERROR(SUMIFS(Weekly_Log!F:F,Weekly_Log!A:A,$B$1,Weekly_Log!B:B,$I23),0))</f>
      </c>
      <c r="F23">
        <f>IF(A23="","",D23+E23)</f>
      </c>
      <c r="G23">
        <f>IF(A23="","",IF(F23&gt;=C23,"On Track",IF(F23=0,"No Output","Behind")))</f>
      </c>
      <c r="H23">
        <f>IF(A23="","",HYPERLINK(XLOOKUP(A23,Team!A:A,Team!C:C),"Open Feather"))</f>
      </c>
      <c r="I23">
        <f>IF(A23="","",XLOOKUP(A23,Team!A:A,Team!B:B))</f>
      </c>
    </row>
    <row r="24">
      <c r="A24" t="str">
        <v/>
      </c>
      <c r="B24">
        <f>IF(A24="","",XLOOKUP(A24,Team!A:A,Team!D:D))</f>
      </c>
      <c r="C24">
        <f>IF(A24="","",XLOOKUP(A24,Team!A:A,Team!F:F))</f>
      </c>
      <c r="D24">
        <f>IF(A24="","",IFERROR(SUMIFS(Weekly_Log!E:E,Weekly_Log!A:A,$B$1,Weekly_Log!B:B,$I24),0))</f>
      </c>
      <c r="E24">
        <f>IF(A24="","",IFERROR(SUMIFS(Weekly_Log!F:F,Weekly_Log!A:A,$B$1,Weekly_Log!B:B,$I24),0))</f>
      </c>
      <c r="F24">
        <f>IF(A24="","",D24+E24)</f>
      </c>
      <c r="G24">
        <f>IF(A24="","",IF(F24&gt;=C24,"On Track",IF(F24=0,"No Output","Behind")))</f>
      </c>
      <c r="H24">
        <f>IF(A24="","",HYPERLINK(XLOOKUP(A24,Team!A:A,Team!C:C),"Open Feather"))</f>
      </c>
      <c r="I24">
        <f>IF(A24="","",XLOOKUP(A24,Team!A:A,Team!B:B))</f>
      </c>
    </row>
    <row r="25">
      <c r="A25" t="str">
        <v/>
      </c>
      <c r="B25">
        <f>IF(A25="","",XLOOKUP(A25,Team!A:A,Team!D:D))</f>
      </c>
      <c r="C25">
        <f>IF(A25="","",XLOOKUP(A25,Team!A:A,Team!F:F))</f>
      </c>
      <c r="D25">
        <f>IF(A25="","",IFERROR(SUMIFS(Weekly_Log!E:E,Weekly_Log!A:A,$B$1,Weekly_Log!B:B,$I25),0))</f>
      </c>
      <c r="E25">
        <f>IF(A25="","",IFERROR(SUMIFS(Weekly_Log!F:F,Weekly_Log!A:A,$B$1,Weekly_Log!B:B,$I25),0))</f>
      </c>
      <c r="F25">
        <f>IF(A25="","",D25+E25)</f>
      </c>
      <c r="G25">
        <f>IF(A25="","",IF(F25&gt;=C25,"On Track",IF(F25=0,"No Output","Behind")))</f>
      </c>
      <c r="H25">
        <f>IF(A25="","",HYPERLINK(XLOOKUP(A25,Team!A:A,Team!C:C),"Open Feather"))</f>
      </c>
      <c r="I25">
        <f>IF(A25="","",XLOOKUP(A25,Team!A:A,Team!B:B))</f>
      </c>
    </row>
    <row r="26">
      <c r="A26" t="str">
        <v/>
      </c>
      <c r="B26">
        <f>IF(A26="","",XLOOKUP(A26,Team!A:A,Team!D:D))</f>
      </c>
      <c r="C26">
        <f>IF(A26="","",XLOOKUP(A26,Team!A:A,Team!F:F))</f>
      </c>
      <c r="D26">
        <f>IF(A26="","",IFERROR(SUMIFS(Weekly_Log!E:E,Weekly_Log!A:A,$B$1,Weekly_Log!B:B,$I26),0))</f>
      </c>
      <c r="E26">
        <f>IF(A26="","",IFERROR(SUMIFS(Weekly_Log!F:F,Weekly_Log!A:A,$B$1,Weekly_Log!B:B,$I26),0))</f>
      </c>
      <c r="F26">
        <f>IF(A26="","",D26+E26)</f>
      </c>
      <c r="G26">
        <f>IF(A26="","",IF(F26&gt;=C26,"On Track",IF(F26=0,"No Output","Behind")))</f>
      </c>
      <c r="H26">
        <f>IF(A26="","",HYPERLINK(XLOOKUP(A26,Team!A:A,Team!C:C),"Open Feather"))</f>
      </c>
      <c r="I26">
        <f>IF(A26="","",XLOOKUP(A26,Team!A:A,Team!B:B))</f>
      </c>
    </row>
    <row r="27">
      <c r="A27" t="str">
        <v/>
      </c>
      <c r="B27">
        <f>IF(A27="","",XLOOKUP(A27,Team!A:A,Team!D:D))</f>
      </c>
      <c r="C27">
        <f>IF(A27="","",XLOOKUP(A27,Team!A:A,Team!F:F))</f>
      </c>
      <c r="D27">
        <f>IF(A27="","",IFERROR(SUMIFS(Weekly_Log!E:E,Weekly_Log!A:A,$B$1,Weekly_Log!B:B,$I27),0))</f>
      </c>
      <c r="E27">
        <f>IF(A27="","",IFERROR(SUMIFS(Weekly_Log!F:F,Weekly_Log!A:A,$B$1,Weekly_Log!B:B,$I27),0))</f>
      </c>
      <c r="F27">
        <f>IF(A27="","",D27+E27)</f>
      </c>
      <c r="G27">
        <f>IF(A27="","",IF(F27&gt;=C27,"On Track",IF(F27=0,"No Output","Behind")))</f>
      </c>
      <c r="H27">
        <f>IF(A27="","",HYPERLINK(XLOOKUP(A27,Team!A:A,Team!C:C),"Open Feather"))</f>
      </c>
      <c r="I27">
        <f>IF(A27="","",XLOOKUP(A27,Team!A:A,Team!B:B))</f>
      </c>
    </row>
    <row r="28">
      <c r="A28" t="str">
        <v/>
      </c>
      <c r="B28">
        <f>IF(A28="","",XLOOKUP(A28,Team!A:A,Team!D:D))</f>
      </c>
      <c r="C28">
        <f>IF(A28="","",XLOOKUP(A28,Team!A:A,Team!F:F))</f>
      </c>
      <c r="D28">
        <f>IF(A28="","",IFERROR(SUMIFS(Weekly_Log!E:E,Weekly_Log!A:A,$B$1,Weekly_Log!B:B,$I28),0))</f>
      </c>
      <c r="E28">
        <f>IF(A28="","",IFERROR(SUMIFS(Weekly_Log!F:F,Weekly_Log!A:A,$B$1,Weekly_Log!B:B,$I28),0))</f>
      </c>
      <c r="F28">
        <f>IF(A28="","",D28+E28)</f>
      </c>
      <c r="G28">
        <f>IF(A28="","",IF(F28&gt;=C28,"On Track",IF(F28=0,"No Output","Behind")))</f>
      </c>
      <c r="H28">
        <f>IF(A28="","",HYPERLINK(XLOOKUP(A28,Team!A:A,Team!C:C),"Open Feather"))</f>
      </c>
      <c r="I28">
        <f>IF(A28="","",XLOOKUP(A28,Team!A:A,Team!B:B))</f>
      </c>
    </row>
    <row r="29">
      <c r="A29" t="str">
        <v/>
      </c>
      <c r="B29">
        <f>IF(A29="","",XLOOKUP(A29,Team!A:A,Team!D:D))</f>
      </c>
      <c r="C29">
        <f>IF(A29="","",XLOOKUP(A29,Team!A:A,Team!F:F))</f>
      </c>
      <c r="D29">
        <f>IF(A29="","",IFERROR(SUMIFS(Weekly_Log!E:E,Weekly_Log!A:A,$B$1,Weekly_Log!B:B,$I29),0))</f>
      </c>
      <c r="E29">
        <f>IF(A29="","",IFERROR(SUMIFS(Weekly_Log!F:F,Weekly_Log!A:A,$B$1,Weekly_Log!B:B,$I29),0))</f>
      </c>
      <c r="F29">
        <f>IF(A29="","",D29+E29)</f>
      </c>
      <c r="G29">
        <f>IF(A29="","",IF(F29&gt;=C29,"On Track",IF(F29=0,"No Output","Behind")))</f>
      </c>
      <c r="H29">
        <f>IF(A29="","",HYPERLINK(XLOOKUP(A29,Team!A:A,Team!C:C),"Open Feather"))</f>
      </c>
      <c r="I29">
        <f>IF(A29="","",XLOOKUP(A29,Team!A:A,Team!B:B))</f>
      </c>
    </row>
    <row r="30">
      <c r="A30" t="str">
        <v/>
      </c>
      <c r="B30">
        <f>IF(A30="","",XLOOKUP(A30,Team!A:A,Team!D:D))</f>
      </c>
      <c r="C30">
        <f>IF(A30="","",XLOOKUP(A30,Team!A:A,Team!F:F))</f>
      </c>
      <c r="D30">
        <f>IF(A30="","",IFERROR(SUMIFS(Weekly_Log!E:E,Weekly_Log!A:A,$B$1,Weekly_Log!B:B,$I30),0))</f>
      </c>
      <c r="E30">
        <f>IF(A30="","",IFERROR(SUMIFS(Weekly_Log!F:F,Weekly_Log!A:A,$B$1,Weekly_Log!B:B,$I30),0))</f>
      </c>
      <c r="F30">
        <f>IF(A30="","",D30+E30)</f>
      </c>
      <c r="G30">
        <f>IF(A30="","",IF(F30&gt;=C30,"On Track",IF(F30=0,"No Output","Behind")))</f>
      </c>
      <c r="H30">
        <f>IF(A30="","",HYPERLINK(XLOOKUP(A30,Team!A:A,Team!C:C),"Open Feather"))</f>
      </c>
      <c r="I30">
        <f>IF(A30="","",XLOOKUP(A30,Team!A:A,Team!B:B))</f>
      </c>
    </row>
    <row r="31">
      <c r="A31" t="str">
        <v/>
      </c>
      <c r="B31">
        <f>IF(A31="","",XLOOKUP(A31,Team!A:A,Team!D:D))</f>
      </c>
      <c r="C31">
        <f>IF(A31="","",XLOOKUP(A31,Team!A:A,Team!F:F))</f>
      </c>
      <c r="D31">
        <f>IF(A31="","",IFERROR(SUMIFS(Weekly_Log!E:E,Weekly_Log!A:A,$B$1,Weekly_Log!B:B,$I31),0))</f>
      </c>
      <c r="E31">
        <f>IF(A31="","",IFERROR(SUMIFS(Weekly_Log!F:F,Weekly_Log!A:A,$B$1,Weekly_Log!B:B,$I31),0))</f>
      </c>
      <c r="F31">
        <f>IF(A31="","",D31+E31)</f>
      </c>
      <c r="G31">
        <f>IF(A31="","",IF(F31&gt;=C31,"On Track",IF(F31=0,"No Output","Behind")))</f>
      </c>
      <c r="H31">
        <f>IF(A31="","",HYPERLINK(XLOOKUP(A31,Team!A:A,Team!C:C),"Open Feather"))</f>
      </c>
      <c r="I31">
        <f>IF(A31="","",XLOOKUP(A31,Team!A:A,Team!B:B))</f>
      </c>
    </row>
    <row r="32">
      <c r="A32" t="str">
        <v/>
      </c>
      <c r="B32">
        <f>IF(A32="","",XLOOKUP(A32,Team!A:A,Team!D:D))</f>
      </c>
      <c r="C32">
        <f>IF(A32="","",XLOOKUP(A32,Team!A:A,Team!F:F))</f>
      </c>
      <c r="D32">
        <f>IF(A32="","",IFERROR(SUMIFS(Weekly_Log!E:E,Weekly_Log!A:A,$B$1,Weekly_Log!B:B,$I32),0))</f>
      </c>
      <c r="E32">
        <f>IF(A32="","",IFERROR(SUMIFS(Weekly_Log!F:F,Weekly_Log!A:A,$B$1,Weekly_Log!B:B,$I32),0))</f>
      </c>
      <c r="F32">
        <f>IF(A32="","",D32+E32)</f>
      </c>
      <c r="G32">
        <f>IF(A32="","",IF(F32&gt;=C32,"On Track",IF(F32=0,"No Output","Behind")))</f>
      </c>
      <c r="H32">
        <f>IF(A32="","",HYPERLINK(XLOOKUP(A32,Team!A:A,Team!C:C),"Open Feather"))</f>
      </c>
      <c r="I32">
        <f>IF(A32="","",XLOOKUP(A32,Team!A:A,Team!B:B))</f>
      </c>
    </row>
    <row r="33">
      <c r="A33" t="str">
        <v/>
      </c>
      <c r="B33">
        <f>IF(A33="","",XLOOKUP(A33,Team!A:A,Team!D:D))</f>
      </c>
      <c r="C33">
        <f>IF(A33="","",XLOOKUP(A33,Team!A:A,Team!F:F))</f>
      </c>
      <c r="D33">
        <f>IF(A33="","",IFERROR(SUMIFS(Weekly_Log!E:E,Weekly_Log!A:A,$B$1,Weekly_Log!B:B,$I33),0))</f>
      </c>
      <c r="E33">
        <f>IF(A33="","",IFERROR(SUMIFS(Weekly_Log!F:F,Weekly_Log!A:A,$B$1,Weekly_Log!B:B,$I33),0))</f>
      </c>
      <c r="F33">
        <f>IF(A33="","",D33+E33)</f>
      </c>
      <c r="G33">
        <f>IF(A33="","",IF(F33&gt;=C33,"On Track",IF(F33=0,"No Output","Behind")))</f>
      </c>
      <c r="H33">
        <f>IF(A33="","",HYPERLINK(XLOOKUP(A33,Team!A:A,Team!C:C),"Open Feather"))</f>
      </c>
      <c r="I33">
        <f>IF(A33="","",XLOOKUP(A33,Team!A:A,Team!B:B))</f>
      </c>
    </row>
    <row r="34">
      <c r="A34" t="str">
        <v/>
      </c>
      <c r="B34">
        <f>IF(A34="","",XLOOKUP(A34,Team!A:A,Team!D:D))</f>
      </c>
      <c r="C34">
        <f>IF(A34="","",XLOOKUP(A34,Team!A:A,Team!F:F))</f>
      </c>
      <c r="D34">
        <f>IF(A34="","",IFERROR(SUMIFS(Weekly_Log!E:E,Weekly_Log!A:A,$B$1,Weekly_Log!B:B,$I34),0))</f>
      </c>
      <c r="E34">
        <f>IF(A34="","",IFERROR(SUMIFS(Weekly_Log!F:F,Weekly_Log!A:A,$B$1,Weekly_Log!B:B,$I34),0))</f>
      </c>
      <c r="F34">
        <f>IF(A34="","",D34+E34)</f>
      </c>
      <c r="G34">
        <f>IF(A34="","",IF(F34&gt;=C34,"On Track",IF(F34=0,"No Output","Behind")))</f>
      </c>
      <c r="H34">
        <f>IF(A34="","",HYPERLINK(XLOOKUP(A34,Team!A:A,Team!C:C),"Open Feather"))</f>
      </c>
      <c r="I34">
        <f>IF(A34="","",XLOOKUP(A34,Team!A:A,Team!B:B))</f>
      </c>
    </row>
    <row r="35">
      <c r="A35" t="str">
        <v/>
      </c>
      <c r="B35">
        <f>IF(A35="","",XLOOKUP(A35,Team!A:A,Team!D:D))</f>
      </c>
      <c r="C35">
        <f>IF(A35="","",XLOOKUP(A35,Team!A:A,Team!F:F))</f>
      </c>
      <c r="D35">
        <f>IF(A35="","",IFERROR(SUMIFS(Weekly_Log!E:E,Weekly_Log!A:A,$B$1,Weekly_Log!B:B,$I35),0))</f>
      </c>
      <c r="E35">
        <f>IF(A35="","",IFERROR(SUMIFS(Weekly_Log!F:F,Weekly_Log!A:A,$B$1,Weekly_Log!B:B,$I35),0))</f>
      </c>
      <c r="F35">
        <f>IF(A35="","",D35+E35)</f>
      </c>
      <c r="G35">
        <f>IF(A35="","",IF(F35&gt;=C35,"On Track",IF(F35=0,"No Output","Behind")))</f>
      </c>
      <c r="H35">
        <f>IF(A35="","",HYPERLINK(XLOOKUP(A35,Team!A:A,Team!C:C),"Open Feather"))</f>
      </c>
      <c r="I35">
        <f>IF(A35="","",XLOOKUP(A35,Team!A:A,Team!B:B))</f>
      </c>
    </row>
    <row r="36">
      <c r="A36" t="str">
        <v/>
      </c>
      <c r="B36">
        <f>IF(A36="","",XLOOKUP(A36,Team!A:A,Team!D:D))</f>
      </c>
      <c r="C36">
        <f>IF(A36="","",XLOOKUP(A36,Team!A:A,Team!F:F))</f>
      </c>
      <c r="D36">
        <f>IF(A36="","",IFERROR(SUMIFS(Weekly_Log!E:E,Weekly_Log!A:A,$B$1,Weekly_Log!B:B,$I36),0))</f>
      </c>
      <c r="E36">
        <f>IF(A36="","",IFERROR(SUMIFS(Weekly_Log!F:F,Weekly_Log!A:A,$B$1,Weekly_Log!B:B,$I36),0))</f>
      </c>
      <c r="F36">
        <f>IF(A36="","",D36+E36)</f>
      </c>
      <c r="G36">
        <f>IF(A36="","",IF(F36&gt;=C36,"On Track",IF(F36=0,"No Output","Behind")))</f>
      </c>
      <c r="H36">
        <f>IF(A36="","",HYPERLINK(XLOOKUP(A36,Team!A:A,Team!C:C),"Open Feather"))</f>
      </c>
      <c r="I36">
        <f>IF(A36="","",XLOOKUP(A36,Team!A:A,Team!B:B))</f>
      </c>
    </row>
    <row r="37">
      <c r="A37" t="str">
        <v/>
      </c>
      <c r="B37">
        <f>IF(A37="","",XLOOKUP(A37,Team!A:A,Team!D:D))</f>
      </c>
      <c r="C37">
        <f>IF(A37="","",XLOOKUP(A37,Team!A:A,Team!F:F))</f>
      </c>
      <c r="D37">
        <f>IF(A37="","",IFERROR(SUMIFS(Weekly_Log!E:E,Weekly_Log!A:A,$B$1,Weekly_Log!B:B,$I37),0))</f>
      </c>
      <c r="E37">
        <f>IF(A37="","",IFERROR(SUMIFS(Weekly_Log!F:F,Weekly_Log!A:A,$B$1,Weekly_Log!B:B,$I37),0))</f>
      </c>
      <c r="F37">
        <f>IF(A37="","",D37+E37)</f>
      </c>
      <c r="G37">
        <f>IF(A37="","",IF(F37&gt;=C37,"On Track",IF(F37=0,"No Output","Behind")))</f>
      </c>
      <c r="H37">
        <f>IF(A37="","",HYPERLINK(XLOOKUP(A37,Team!A:A,Team!C:C),"Open Feather"))</f>
      </c>
      <c r="I37">
        <f>IF(A37="","",XLOOKUP(A37,Team!A:A,Team!B:B))</f>
      </c>
    </row>
    <row r="38">
      <c r="A38" t="str">
        <v/>
      </c>
      <c r="B38">
        <f>IF(A38="","",XLOOKUP(A38,Team!A:A,Team!D:D))</f>
      </c>
      <c r="C38">
        <f>IF(A38="","",XLOOKUP(A38,Team!A:A,Team!F:F))</f>
      </c>
      <c r="D38">
        <f>IF(A38="","",IFERROR(SUMIFS(Weekly_Log!E:E,Weekly_Log!A:A,$B$1,Weekly_Log!B:B,$I38),0))</f>
      </c>
      <c r="E38">
        <f>IF(A38="","",IFERROR(SUMIFS(Weekly_Log!F:F,Weekly_Log!A:A,$B$1,Weekly_Log!B:B,$I38),0))</f>
      </c>
      <c r="F38">
        <f>IF(A38="","",D38+E38)</f>
      </c>
      <c r="G38">
        <f>IF(A38="","",IF(F38&gt;=C38,"On Track",IF(F38=0,"No Output","Behind")))</f>
      </c>
      <c r="H38">
        <f>IF(A38="","",HYPERLINK(XLOOKUP(A38,Team!A:A,Team!C:C),"Open Feather"))</f>
      </c>
      <c r="I38">
        <f>IF(A38="","",XLOOKUP(A38,Team!A:A,Team!B:B))</f>
      </c>
    </row>
    <row r="39">
      <c r="A39" t="str">
        <v/>
      </c>
      <c r="B39">
        <f>IF(A39="","",XLOOKUP(A39,Team!A:A,Team!D:D))</f>
      </c>
      <c r="C39">
        <f>IF(A39="","",XLOOKUP(A39,Team!A:A,Team!F:F))</f>
      </c>
      <c r="D39">
        <f>IF(A39="","",IFERROR(SUMIFS(Weekly_Log!E:E,Weekly_Log!A:A,$B$1,Weekly_Log!B:B,$I39),0))</f>
      </c>
      <c r="E39">
        <f>IF(A39="","",IFERROR(SUMIFS(Weekly_Log!F:F,Weekly_Log!A:A,$B$1,Weekly_Log!B:B,$I39),0))</f>
      </c>
      <c r="F39">
        <f>IF(A39="","",D39+E39)</f>
      </c>
      <c r="G39">
        <f>IF(A39="","",IF(F39&gt;=C39,"On Track",IF(F39=0,"No Output","Behind")))</f>
      </c>
      <c r="H39">
        <f>IF(A39="","",HYPERLINK(XLOOKUP(A39,Team!A:A,Team!C:C),"Open Feather"))</f>
      </c>
      <c r="I39">
        <f>IF(A39="","",XLOOKUP(A39,Team!A:A,Team!B:B))</f>
      </c>
    </row>
    <row r="40">
      <c r="A40" t="str">
        <v/>
      </c>
      <c r="B40">
        <f>IF(A40="","",XLOOKUP(A40,Team!A:A,Team!D:D))</f>
      </c>
      <c r="C40">
        <f>IF(A40="","",XLOOKUP(A40,Team!A:A,Team!F:F))</f>
      </c>
      <c r="D40">
        <f>IF(A40="","",IFERROR(SUMIFS(Weekly_Log!E:E,Weekly_Log!A:A,$B$1,Weekly_Log!B:B,$I40),0))</f>
      </c>
      <c r="E40">
        <f>IF(A40="","",IFERROR(SUMIFS(Weekly_Log!F:F,Weekly_Log!A:A,$B$1,Weekly_Log!B:B,$I40),0))</f>
      </c>
      <c r="F40">
        <f>IF(A40="","",D40+E40)</f>
      </c>
      <c r="G40">
        <f>IF(A40="","",IF(F40&gt;=C40,"On Track",IF(F40=0,"No Output","Behind")))</f>
      </c>
      <c r="H40">
        <f>IF(A40="","",HYPERLINK(XLOOKUP(A40,Team!A:A,Team!C:C),"Open Feather"))</f>
      </c>
      <c r="I40">
        <f>IF(A40="","",XLOOKUP(A40,Team!A:A,Team!B:B))</f>
      </c>
    </row>
    <row r="41">
      <c r="A41" t="str">
        <v/>
      </c>
      <c r="B41">
        <f>IF(A41="","",XLOOKUP(A41,Team!A:A,Team!D:D))</f>
      </c>
      <c r="C41">
        <f>IF(A41="","",XLOOKUP(A41,Team!A:A,Team!F:F))</f>
      </c>
      <c r="D41">
        <f>IF(A41="","",IFERROR(SUMIFS(Weekly_Log!E:E,Weekly_Log!A:A,$B$1,Weekly_Log!B:B,$I41),0))</f>
      </c>
      <c r="E41">
        <f>IF(A41="","",IFERROR(SUMIFS(Weekly_Log!F:F,Weekly_Log!A:A,$B$1,Weekly_Log!B:B,$I41),0))</f>
      </c>
      <c r="F41">
        <f>IF(A41="","",D41+E41)</f>
      </c>
      <c r="G41">
        <f>IF(A41="","",IF(F41&gt;=C41,"On Track",IF(F41=0,"No Output","Behind")))</f>
      </c>
      <c r="H41">
        <f>IF(A41="","",HYPERLINK(XLOOKUP(A41,Team!A:A,Team!C:C),"Open Feather"))</f>
      </c>
      <c r="I41">
        <f>IF(A41="","",XLOOKUP(A41,Team!A:A,Team!B:B))</f>
      </c>
    </row>
    <row r="42">
      <c r="A42" t="str">
        <v/>
      </c>
      <c r="B42">
        <f>IF(A42="","",XLOOKUP(A42,Team!A:A,Team!D:D))</f>
      </c>
      <c r="C42">
        <f>IF(A42="","",XLOOKUP(A42,Team!A:A,Team!F:F))</f>
      </c>
      <c r="D42">
        <f>IF(A42="","",IFERROR(SUMIFS(Weekly_Log!E:E,Weekly_Log!A:A,$B$1,Weekly_Log!B:B,$I42),0))</f>
      </c>
      <c r="E42">
        <f>IF(A42="","",IFERROR(SUMIFS(Weekly_Log!F:F,Weekly_Log!A:A,$B$1,Weekly_Log!B:B,$I42),0))</f>
      </c>
      <c r="F42">
        <f>IF(A42="","",D42+E42)</f>
      </c>
      <c r="G42">
        <f>IF(A42="","",IF(F42&gt;=C42,"On Track",IF(F42=0,"No Output","Behind")))</f>
      </c>
      <c r="H42">
        <f>IF(A42="","",HYPERLINK(XLOOKUP(A42,Team!A:A,Team!C:C),"Open Feather"))</f>
      </c>
      <c r="I42">
        <f>IF(A42="","",XLOOKUP(A42,Team!A:A,Team!B:B))</f>
      </c>
    </row>
    <row r="43">
      <c r="A43" t="str">
        <v/>
      </c>
      <c r="B43">
        <f>IF(A43="","",XLOOKUP(A43,Team!A:A,Team!D:D))</f>
      </c>
      <c r="C43">
        <f>IF(A43="","",XLOOKUP(A43,Team!A:A,Team!F:F))</f>
      </c>
      <c r="D43">
        <f>IF(A43="","",IFERROR(SUMIFS(Weekly_Log!E:E,Weekly_Log!A:A,$B$1,Weekly_Log!B:B,$I43),0))</f>
      </c>
      <c r="E43">
        <f>IF(A43="","",IFERROR(SUMIFS(Weekly_Log!F:F,Weekly_Log!A:A,$B$1,Weekly_Log!B:B,$I43),0))</f>
      </c>
      <c r="F43">
        <f>IF(A43="","",D43+E43)</f>
      </c>
      <c r="G43">
        <f>IF(A43="","",IF(F43&gt;=C43,"On Track",IF(F43=0,"No Output","Behind")))</f>
      </c>
      <c r="H43">
        <f>IF(A43="","",HYPERLINK(XLOOKUP(A43,Team!A:A,Team!C:C),"Open Feather"))</f>
      </c>
      <c r="I43">
        <f>IF(A43="","",XLOOKUP(A43,Team!A:A,Team!B:B))</f>
      </c>
    </row>
    <row r="44">
      <c r="A44" t="str">
        <v/>
      </c>
      <c r="B44">
        <f>IF(A44="","",XLOOKUP(A44,Team!A:A,Team!D:D))</f>
      </c>
      <c r="C44">
        <f>IF(A44="","",XLOOKUP(A44,Team!A:A,Team!F:F))</f>
      </c>
      <c r="D44">
        <f>IF(A44="","",IFERROR(SUMIFS(Weekly_Log!E:E,Weekly_Log!A:A,$B$1,Weekly_Log!B:B,$I44),0))</f>
      </c>
      <c r="E44">
        <f>IF(A44="","",IFERROR(SUMIFS(Weekly_Log!F:F,Weekly_Log!A:A,$B$1,Weekly_Log!B:B,$I44),0))</f>
      </c>
      <c r="F44">
        <f>IF(A44="","",D44+E44)</f>
      </c>
      <c r="G44">
        <f>IF(A44="","",IF(F44&gt;=C44,"On Track",IF(F44=0,"No Output","Behind")))</f>
      </c>
      <c r="H44">
        <f>IF(A44="","",HYPERLINK(XLOOKUP(A44,Team!A:A,Team!C:C),"Open Feather"))</f>
      </c>
      <c r="I44">
        <f>IF(A44="","",XLOOKUP(A44,Team!A:A,Team!B:B))</f>
      </c>
    </row>
    <row r="45">
      <c r="A45" t="str">
        <v/>
      </c>
      <c r="B45">
        <f>IF(A45="","",XLOOKUP(A45,Team!A:A,Team!D:D))</f>
      </c>
      <c r="C45">
        <f>IF(A45="","",XLOOKUP(A45,Team!A:A,Team!F:F))</f>
      </c>
      <c r="D45">
        <f>IF(A45="","",IFERROR(SUMIFS(Weekly_Log!E:E,Weekly_Log!A:A,$B$1,Weekly_Log!B:B,$I45),0))</f>
      </c>
      <c r="E45">
        <f>IF(A45="","",IFERROR(SUMIFS(Weekly_Log!F:F,Weekly_Log!A:A,$B$1,Weekly_Log!B:B,$I45),0))</f>
      </c>
      <c r="F45">
        <f>IF(A45="","",D45+E45)</f>
      </c>
      <c r="G45">
        <f>IF(A45="","",IF(F45&gt;=C45,"On Track",IF(F45=0,"No Output","Behind")))</f>
      </c>
      <c r="H45">
        <f>IF(A45="","",HYPERLINK(XLOOKUP(A45,Team!A:A,Team!C:C),"Open Feather"))</f>
      </c>
      <c r="I45">
        <f>IF(A45="","",XLOOKUP(A45,Team!A:A,Team!B:B))</f>
      </c>
    </row>
    <row r="46">
      <c r="A46" t="str">
        <v/>
      </c>
      <c r="B46">
        <f>IF(A46="","",XLOOKUP(A46,Team!A:A,Team!D:D))</f>
      </c>
      <c r="C46">
        <f>IF(A46="","",XLOOKUP(A46,Team!A:A,Team!F:F))</f>
      </c>
      <c r="D46">
        <f>IF(A46="","",IFERROR(SUMIFS(Weekly_Log!E:E,Weekly_Log!A:A,$B$1,Weekly_Log!B:B,$I46),0))</f>
      </c>
      <c r="E46">
        <f>IF(A46="","",IFERROR(SUMIFS(Weekly_Log!F:F,Weekly_Log!A:A,$B$1,Weekly_Log!B:B,$I46),0))</f>
      </c>
      <c r="F46">
        <f>IF(A46="","",D46+E46)</f>
      </c>
      <c r="G46">
        <f>IF(A46="","",IF(F46&gt;=C46,"On Track",IF(F46=0,"No Output","Behind")))</f>
      </c>
      <c r="H46">
        <f>IF(A46="","",HYPERLINK(XLOOKUP(A46,Team!A:A,Team!C:C),"Open Feather"))</f>
      </c>
      <c r="I46">
        <f>IF(A46="","",XLOOKUP(A46,Team!A:A,Team!B:B))</f>
      </c>
    </row>
    <row r="47">
      <c r="A47" t="str">
        <v/>
      </c>
      <c r="B47">
        <f>IF(A47="","",XLOOKUP(A47,Team!A:A,Team!D:D))</f>
      </c>
      <c r="C47">
        <f>IF(A47="","",XLOOKUP(A47,Team!A:A,Team!F:F))</f>
      </c>
      <c r="D47">
        <f>IF(A47="","",IFERROR(SUMIFS(Weekly_Log!E:E,Weekly_Log!A:A,$B$1,Weekly_Log!B:B,$I47),0))</f>
      </c>
      <c r="E47">
        <f>IF(A47="","",IFERROR(SUMIFS(Weekly_Log!F:F,Weekly_Log!A:A,$B$1,Weekly_Log!B:B,$I47),0))</f>
      </c>
      <c r="F47">
        <f>IF(A47="","",D47+E47)</f>
      </c>
      <c r="G47">
        <f>IF(A47="","",IF(F47&gt;=C47,"On Track",IF(F47=0,"No Output","Behind")))</f>
      </c>
      <c r="H47">
        <f>IF(A47="","",HYPERLINK(XLOOKUP(A47,Team!A:A,Team!C:C),"Open Feather"))</f>
      </c>
      <c r="I47">
        <f>IF(A47="","",XLOOKUP(A47,Team!A:A,Team!B:B))</f>
      </c>
    </row>
    <row r="48">
      <c r="A48" t="str">
        <v/>
      </c>
      <c r="B48">
        <f>IF(A48="","",XLOOKUP(A48,Team!A:A,Team!D:D))</f>
      </c>
      <c r="C48">
        <f>IF(A48="","",XLOOKUP(A48,Team!A:A,Team!F:F))</f>
      </c>
      <c r="D48">
        <f>IF(A48="","",IFERROR(SUMIFS(Weekly_Log!E:E,Weekly_Log!A:A,$B$1,Weekly_Log!B:B,$I48),0))</f>
      </c>
      <c r="E48">
        <f>IF(A48="","",IFERROR(SUMIFS(Weekly_Log!F:F,Weekly_Log!A:A,$B$1,Weekly_Log!B:B,$I48),0))</f>
      </c>
      <c r="F48">
        <f>IF(A48="","",D48+E48)</f>
      </c>
      <c r="G48">
        <f>IF(A48="","",IF(F48&gt;=C48,"On Track",IF(F48=0,"No Output","Behind")))</f>
      </c>
      <c r="H48">
        <f>IF(A48="","",HYPERLINK(XLOOKUP(A48,Team!A:A,Team!C:C),"Open Feather"))</f>
      </c>
      <c r="I48">
        <f>IF(A48="","",XLOOKUP(A48,Team!A:A,Team!B:B))</f>
      </c>
    </row>
    <row r="49">
      <c r="A49" t="str">
        <v/>
      </c>
      <c r="B49">
        <f>IF(A49="","",XLOOKUP(A49,Team!A:A,Team!D:D))</f>
      </c>
      <c r="C49">
        <f>IF(A49="","",XLOOKUP(A49,Team!A:A,Team!F:F))</f>
      </c>
      <c r="D49">
        <f>IF(A49="","",IFERROR(SUMIFS(Weekly_Log!E:E,Weekly_Log!A:A,$B$1,Weekly_Log!B:B,$I49),0))</f>
      </c>
      <c r="E49">
        <f>IF(A49="","",IFERROR(SUMIFS(Weekly_Log!F:F,Weekly_Log!A:A,$B$1,Weekly_Log!B:B,$I49),0))</f>
      </c>
      <c r="F49">
        <f>IF(A49="","",D49+E49)</f>
      </c>
      <c r="G49">
        <f>IF(A49="","",IF(F49&gt;=C49,"On Track",IF(F49=0,"No Output","Behind")))</f>
      </c>
      <c r="H49">
        <f>IF(A49="","",HYPERLINK(XLOOKUP(A49,Team!A:A,Team!C:C),"Open Feather"))</f>
      </c>
      <c r="I49">
        <f>IF(A49="","",XLOOKUP(A49,Team!A:A,Team!B:B))</f>
      </c>
    </row>
    <row r="50">
      <c r="A50" t="str">
        <v/>
      </c>
      <c r="B50">
        <f>IF(A50="","",XLOOKUP(A50,Team!A:A,Team!D:D))</f>
      </c>
      <c r="C50">
        <f>IF(A50="","",XLOOKUP(A50,Team!A:A,Team!F:F))</f>
      </c>
      <c r="D50">
        <f>IF(A50="","",IFERROR(SUMIFS(Weekly_Log!E:E,Weekly_Log!A:A,$B$1,Weekly_Log!B:B,$I50),0))</f>
      </c>
      <c r="E50">
        <f>IF(A50="","",IFERROR(SUMIFS(Weekly_Log!F:F,Weekly_Log!A:A,$B$1,Weekly_Log!B:B,$I50),0))</f>
      </c>
      <c r="F50">
        <f>IF(A50="","",D50+E50)</f>
      </c>
      <c r="G50">
        <f>IF(A50="","",IF(F50&gt;=C50,"On Track",IF(F50=0,"No Output","Behind")))</f>
      </c>
      <c r="H50">
        <f>IF(A50="","",HYPERLINK(XLOOKUP(A50,Team!A:A,Team!C:C),"Open Feather"))</f>
      </c>
      <c r="I50">
        <f>IF(A50="","",XLOOKUP(A50,Team!A:A,Team!B:B))</f>
      </c>
    </row>
    <row r="51">
      <c r="A51" t="str">
        <v/>
      </c>
      <c r="B51">
        <f>IF(A51="","",XLOOKUP(A51,Team!A:A,Team!D:D))</f>
      </c>
      <c r="C51">
        <f>IF(A51="","",XLOOKUP(A51,Team!A:A,Team!F:F))</f>
      </c>
      <c r="D51">
        <f>IF(A51="","",IFERROR(SUMIFS(Weekly_Log!E:E,Weekly_Log!A:A,$B$1,Weekly_Log!B:B,$I51),0))</f>
      </c>
      <c r="E51">
        <f>IF(A51="","",IFERROR(SUMIFS(Weekly_Log!F:F,Weekly_Log!A:A,$B$1,Weekly_Log!B:B,$I51),0))</f>
      </c>
      <c r="F51">
        <f>IF(A51="","",D51+E51)</f>
      </c>
      <c r="G51">
        <f>IF(A51="","",IF(F51&gt;=C51,"On Track",IF(F51=0,"No Output","Behind")))</f>
      </c>
      <c r="H51">
        <f>IF(A51="","",HYPERLINK(XLOOKUP(A51,Team!A:A,Team!C:C),"Open Feather"))</f>
      </c>
      <c r="I51">
        <f>IF(A51="","",XLOOKUP(A51,Team!A:A,Team!B:B))</f>
      </c>
    </row>
    <row r="52">
      <c r="A52" t="str">
        <v/>
      </c>
      <c r="B52">
        <f>IF(A52="","",XLOOKUP(A52,Team!A:A,Team!D:D))</f>
      </c>
      <c r="C52">
        <f>IF(A52="","",XLOOKUP(A52,Team!A:A,Team!F:F))</f>
      </c>
      <c r="D52">
        <f>IF(A52="","",IFERROR(SUMIFS(Weekly_Log!E:E,Weekly_Log!A:A,$B$1,Weekly_Log!B:B,$I52),0))</f>
      </c>
      <c r="E52">
        <f>IF(A52="","",IFERROR(SUMIFS(Weekly_Log!F:F,Weekly_Log!A:A,$B$1,Weekly_Log!B:B,$I52),0))</f>
      </c>
      <c r="F52">
        <f>IF(A52="","",D52+E52)</f>
      </c>
      <c r="G52">
        <f>IF(A52="","",IF(F52&gt;=C52,"On Track",IF(F52=0,"No Output","Behind")))</f>
      </c>
      <c r="H52">
        <f>IF(A52="","",HYPERLINK(XLOOKUP(A52,Team!A:A,Team!C:C),"Open Feather"))</f>
      </c>
      <c r="I52">
        <f>IF(A52="","",XLOOKUP(A52,Team!A:A,Team!B:B))</f>
      </c>
    </row>
    <row r="53">
      <c r="A53" t="str">
        <v/>
      </c>
      <c r="B53">
        <f>IF(A53="","",XLOOKUP(A53,Team!A:A,Team!D:D))</f>
      </c>
      <c r="C53">
        <f>IF(A53="","",XLOOKUP(A53,Team!A:A,Team!F:F))</f>
      </c>
      <c r="D53">
        <f>IF(A53="","",IFERROR(SUMIFS(Weekly_Log!E:E,Weekly_Log!A:A,$B$1,Weekly_Log!B:B,$I53),0))</f>
      </c>
      <c r="E53">
        <f>IF(A53="","",IFERROR(SUMIFS(Weekly_Log!F:F,Weekly_Log!A:A,$B$1,Weekly_Log!B:B,$I53),0))</f>
      </c>
      <c r="F53">
        <f>IF(A53="","",D53+E53)</f>
      </c>
      <c r="G53">
        <f>IF(A53="","",IF(F53&gt;=C53,"On Track",IF(F53=0,"No Output","Behind")))</f>
      </c>
      <c r="H53">
        <f>IF(A53="","",HYPERLINK(XLOOKUP(A53,Team!A:A,Team!C:C),"Open Feather"))</f>
      </c>
      <c r="I53">
        <f>IF(A53="","",XLOOKUP(A53,Team!A:A,Team!B:B))</f>
      </c>
    </row>
    <row r="54">
      <c r="A54" t="str">
        <v/>
      </c>
      <c r="B54">
        <f>IF(A54="","",XLOOKUP(A54,Team!A:A,Team!D:D))</f>
      </c>
      <c r="C54">
        <f>IF(A54="","",XLOOKUP(A54,Team!A:A,Team!F:F))</f>
      </c>
      <c r="D54">
        <f>IF(A54="","",IFERROR(SUMIFS(Weekly_Log!E:E,Weekly_Log!A:A,$B$1,Weekly_Log!B:B,$I54),0))</f>
      </c>
      <c r="E54">
        <f>IF(A54="","",IFERROR(SUMIFS(Weekly_Log!F:F,Weekly_Log!A:A,$B$1,Weekly_Log!B:B,$I54),0))</f>
      </c>
      <c r="F54">
        <f>IF(A54="","",D54+E54)</f>
      </c>
      <c r="G54">
        <f>IF(A54="","",IF(F54&gt;=C54,"On Track",IF(F54=0,"No Output","Behind")))</f>
      </c>
      <c r="H54">
        <f>IF(A54="","",HYPERLINK(XLOOKUP(A54,Team!A:A,Team!C:C),"Open Feather"))</f>
      </c>
      <c r="I54">
        <f>IF(A54="","",XLOOKUP(A54,Team!A:A,Team!B:B))</f>
      </c>
    </row>
    <row r="55">
      <c r="A55" t="str">
        <v/>
      </c>
      <c r="B55">
        <f>IF(A55="","",XLOOKUP(A55,Team!A:A,Team!D:D))</f>
      </c>
      <c r="C55">
        <f>IF(A55="","",XLOOKUP(A55,Team!A:A,Team!F:F))</f>
      </c>
      <c r="D55">
        <f>IF(A55="","",IFERROR(SUMIFS(Weekly_Log!E:E,Weekly_Log!A:A,$B$1,Weekly_Log!B:B,$I55),0))</f>
      </c>
      <c r="E55">
        <f>IF(A55="","",IFERROR(SUMIFS(Weekly_Log!F:F,Weekly_Log!A:A,$B$1,Weekly_Log!B:B,$I55),0))</f>
      </c>
      <c r="F55">
        <f>IF(A55="","",D55+E55)</f>
      </c>
      <c r="G55">
        <f>IF(A55="","",IF(F55&gt;=C55,"On Track",IF(F55=0,"No Output","Behind")))</f>
      </c>
      <c r="H55">
        <f>IF(A55="","",HYPERLINK(XLOOKUP(A55,Team!A:A,Team!C:C),"Open Feather"))</f>
      </c>
      <c r="I55">
        <f>IF(A55="","",XLOOKUP(A55,Team!A:A,Team!B:B))</f>
      </c>
    </row>
    <row r="56">
      <c r="A56" t="str">
        <v/>
      </c>
      <c r="B56">
        <f>IF(A56="","",XLOOKUP(A56,Team!A:A,Team!D:D))</f>
      </c>
      <c r="C56">
        <f>IF(A56="","",XLOOKUP(A56,Team!A:A,Team!F:F))</f>
      </c>
      <c r="D56">
        <f>IF(A56="","",IFERROR(SUMIFS(Weekly_Log!E:E,Weekly_Log!A:A,$B$1,Weekly_Log!B:B,$I56),0))</f>
      </c>
      <c r="E56">
        <f>IF(A56="","",IFERROR(SUMIFS(Weekly_Log!F:F,Weekly_Log!A:A,$B$1,Weekly_Log!B:B,$I56),0))</f>
      </c>
      <c r="F56">
        <f>IF(A56="","",D56+E56)</f>
      </c>
      <c r="G56">
        <f>IF(A56="","",IF(F56&gt;=C56,"On Track",IF(F56=0,"No Output","Behind")))</f>
      </c>
      <c r="H56">
        <f>IF(A56="","",HYPERLINK(XLOOKUP(A56,Team!A:A,Team!C:C),"Open Feather"))</f>
      </c>
      <c r="I56">
        <f>IF(A56="","",XLOOKUP(A56,Team!A:A,Team!B:B))</f>
      </c>
    </row>
    <row r="57">
      <c r="A57" t="str">
        <v/>
      </c>
      <c r="B57">
        <f>IF(A57="","",XLOOKUP(A57,Team!A:A,Team!D:D))</f>
      </c>
      <c r="C57">
        <f>IF(A57="","",XLOOKUP(A57,Team!A:A,Team!F:F))</f>
      </c>
      <c r="D57">
        <f>IF(A57="","",IFERROR(SUMIFS(Weekly_Log!E:E,Weekly_Log!A:A,$B$1,Weekly_Log!B:B,$I57),0))</f>
      </c>
      <c r="E57">
        <f>IF(A57="","",IFERROR(SUMIFS(Weekly_Log!F:F,Weekly_Log!A:A,$B$1,Weekly_Log!B:B,$I57),0))</f>
      </c>
      <c r="F57">
        <f>IF(A57="","",D57+E57)</f>
      </c>
      <c r="G57">
        <f>IF(A57="","",IF(F57&gt;=C57,"On Track",IF(F57=0,"No Output","Behind")))</f>
      </c>
      <c r="H57">
        <f>IF(A57="","",HYPERLINK(XLOOKUP(A57,Team!A:A,Team!C:C),"Open Feather"))</f>
      </c>
      <c r="I57">
        <f>IF(A57="","",XLOOKUP(A57,Team!A:A,Team!B:B))</f>
      </c>
    </row>
    <row r="58">
      <c r="A58" t="str">
        <v/>
      </c>
      <c r="B58">
        <f>IF(A58="","",XLOOKUP(A58,Team!A:A,Team!D:D))</f>
      </c>
      <c r="C58">
        <f>IF(A58="","",XLOOKUP(A58,Team!A:A,Team!F:F))</f>
      </c>
      <c r="D58">
        <f>IF(A58="","",IFERROR(SUMIFS(Weekly_Log!E:E,Weekly_Log!A:A,$B$1,Weekly_Log!B:B,$I58),0))</f>
      </c>
      <c r="E58">
        <f>IF(A58="","",IFERROR(SUMIFS(Weekly_Log!F:F,Weekly_Log!A:A,$B$1,Weekly_Log!B:B,$I58),0))</f>
      </c>
      <c r="F58">
        <f>IF(A58="","",D58+E58)</f>
      </c>
      <c r="G58">
        <f>IF(A58="","",IF(F58&gt;=C58,"On Track",IF(F58=0,"No Output","Behind")))</f>
      </c>
      <c r="H58">
        <f>IF(A58="","",HYPERLINK(XLOOKUP(A58,Team!A:A,Team!C:C),"Open Feather"))</f>
      </c>
      <c r="I58">
        <f>IF(A58="","",XLOOKUP(A58,Team!A:A,Team!B:B))</f>
      </c>
    </row>
    <row r="59">
      <c r="A59" t="str">
        <v/>
      </c>
      <c r="B59">
        <f>IF(A59="","",XLOOKUP(A59,Team!A:A,Team!D:D))</f>
      </c>
      <c r="C59">
        <f>IF(A59="","",XLOOKUP(A59,Team!A:A,Team!F:F))</f>
      </c>
      <c r="D59">
        <f>IF(A59="","",IFERROR(SUMIFS(Weekly_Log!E:E,Weekly_Log!A:A,$B$1,Weekly_Log!B:B,$I59),0))</f>
      </c>
      <c r="E59">
        <f>IF(A59="","",IFERROR(SUMIFS(Weekly_Log!F:F,Weekly_Log!A:A,$B$1,Weekly_Log!B:B,$I59),0))</f>
      </c>
      <c r="F59">
        <f>IF(A59="","",D59+E59)</f>
      </c>
      <c r="G59">
        <f>IF(A59="","",IF(F59&gt;=C59,"On Track",IF(F59=0,"No Output","Behind")))</f>
      </c>
      <c r="H59">
        <f>IF(A59="","",HYPERLINK(XLOOKUP(A59,Team!A:A,Team!C:C),"Open Feather"))</f>
      </c>
      <c r="I59">
        <f>IF(A59="","",XLOOKUP(A59,Team!A:A,Team!B:B))</f>
      </c>
    </row>
    <row r="60">
      <c r="A60" t="str">
        <v/>
      </c>
      <c r="B60">
        <f>IF(A60="","",XLOOKUP(A60,Team!A:A,Team!D:D))</f>
      </c>
      <c r="C60">
        <f>IF(A60="","",XLOOKUP(A60,Team!A:A,Team!F:F))</f>
      </c>
      <c r="D60">
        <f>IF(A60="","",IFERROR(SUMIFS(Weekly_Log!E:E,Weekly_Log!A:A,$B$1,Weekly_Log!B:B,$I60),0))</f>
      </c>
      <c r="E60">
        <f>IF(A60="","",IFERROR(SUMIFS(Weekly_Log!F:F,Weekly_Log!A:A,$B$1,Weekly_Log!B:B,$I60),0))</f>
      </c>
      <c r="F60">
        <f>IF(A60="","",D60+E60)</f>
      </c>
      <c r="G60">
        <f>IF(A60="","",IF(F60&gt;=C60,"On Track",IF(F60=0,"No Output","Behind")))</f>
      </c>
      <c r="H60">
        <f>IF(A60="","",HYPERLINK(XLOOKUP(A60,Team!A:A,Team!C:C),"Open Feather"))</f>
      </c>
      <c r="I60">
        <f>IF(A60="","",XLOOKUP(A60,Team!A:A,Team!B:B))</f>
      </c>
    </row>
    <row r="61">
      <c r="A61" t="str">
        <v/>
      </c>
      <c r="B61">
        <f>IF(A61="","",XLOOKUP(A61,Team!A:A,Team!D:D))</f>
      </c>
      <c r="C61">
        <f>IF(A61="","",XLOOKUP(A61,Team!A:A,Team!F:F))</f>
      </c>
      <c r="D61">
        <f>IF(A61="","",IFERROR(SUMIFS(Weekly_Log!E:E,Weekly_Log!A:A,$B$1,Weekly_Log!B:B,$I61),0))</f>
      </c>
      <c r="E61">
        <f>IF(A61="","",IFERROR(SUMIFS(Weekly_Log!F:F,Weekly_Log!A:A,$B$1,Weekly_Log!B:B,$I61),0))</f>
      </c>
      <c r="F61">
        <f>IF(A61="","",D61+E61)</f>
      </c>
      <c r="G61">
        <f>IF(A61="","",IF(F61&gt;=C61,"On Track",IF(F61=0,"No Output","Behind")))</f>
      </c>
      <c r="H61">
        <f>IF(A61="","",HYPERLINK(XLOOKUP(A61,Team!A:A,Team!C:C),"Open Feather"))</f>
      </c>
      <c r="I61">
        <f>IF(A61="","",XLOOKUP(A61,Team!A:A,Team!B:B))</f>
      </c>
    </row>
    <row r="62">
      <c r="A62" t="str">
        <v/>
      </c>
      <c r="B62">
        <f>IF(A62="","",XLOOKUP(A62,Team!A:A,Team!D:D))</f>
      </c>
      <c r="C62">
        <f>IF(A62="","",XLOOKUP(A62,Team!A:A,Team!F:F))</f>
      </c>
      <c r="D62">
        <f>IF(A62="","",IFERROR(SUMIFS(Weekly_Log!E:E,Weekly_Log!A:A,$B$1,Weekly_Log!B:B,$I62),0))</f>
      </c>
      <c r="E62">
        <f>IF(A62="","",IFERROR(SUMIFS(Weekly_Log!F:F,Weekly_Log!A:A,$B$1,Weekly_Log!B:B,$I62),0))</f>
      </c>
      <c r="F62">
        <f>IF(A62="","",D62+E62)</f>
      </c>
      <c r="G62">
        <f>IF(A62="","",IF(F62&gt;=C62,"On Track",IF(F62=0,"No Output","Behind")))</f>
      </c>
      <c r="H62">
        <f>IF(A62="","",HYPERLINK(XLOOKUP(A62,Team!A:A,Team!C:C),"Open Feather"))</f>
      </c>
      <c r="I62">
        <f>IF(A62="","",XLOOKUP(A62,Team!A:A,Team!B:B))</f>
      </c>
    </row>
    <row r="63">
      <c r="A63" t="str">
        <v/>
      </c>
      <c r="B63">
        <f>IF(A63="","",XLOOKUP(A63,Team!A:A,Team!D:D))</f>
      </c>
      <c r="C63">
        <f>IF(A63="","",XLOOKUP(A63,Team!A:A,Team!F:F))</f>
      </c>
      <c r="D63">
        <f>IF(A63="","",IFERROR(SUMIFS(Weekly_Log!E:E,Weekly_Log!A:A,$B$1,Weekly_Log!B:B,$I63),0))</f>
      </c>
      <c r="E63">
        <f>IF(A63="","",IFERROR(SUMIFS(Weekly_Log!F:F,Weekly_Log!A:A,$B$1,Weekly_Log!B:B,$I63),0))</f>
      </c>
      <c r="F63">
        <f>IF(A63="","",D63+E63)</f>
      </c>
      <c r="G63">
        <f>IF(A63="","",IF(F63&gt;=C63,"On Track",IF(F63=0,"No Output","Behind")))</f>
      </c>
      <c r="H63">
        <f>IF(A63="","",HYPERLINK(XLOOKUP(A63,Team!A:A,Team!C:C),"Open Feather"))</f>
      </c>
      <c r="I63">
        <f>IF(A63="","",XLOOKUP(A63,Team!A:A,Team!B:B))</f>
      </c>
    </row>
    <row r="64">
      <c r="A64" t="str">
        <v/>
      </c>
      <c r="B64">
        <f>IF(A64="","",XLOOKUP(A64,Team!A:A,Team!D:D))</f>
      </c>
      <c r="C64">
        <f>IF(A64="","",XLOOKUP(A64,Team!A:A,Team!F:F))</f>
      </c>
      <c r="D64">
        <f>IF(A64="","",IFERROR(SUMIFS(Weekly_Log!E:E,Weekly_Log!A:A,$B$1,Weekly_Log!B:B,$I64),0))</f>
      </c>
      <c r="E64">
        <f>IF(A64="","",IFERROR(SUMIFS(Weekly_Log!F:F,Weekly_Log!A:A,$B$1,Weekly_Log!B:B,$I64),0))</f>
      </c>
      <c r="F64">
        <f>IF(A64="","",D64+E64)</f>
      </c>
      <c r="G64">
        <f>IF(A64="","",IF(F64&gt;=C64,"On Track",IF(F64=0,"No Output","Behind")))</f>
      </c>
      <c r="H64">
        <f>IF(A64="","",HYPERLINK(XLOOKUP(A64,Team!A:A,Team!C:C),"Open Feather"))</f>
      </c>
      <c r="I64">
        <f>IF(A64="","",XLOOKUP(A64,Team!A:A,Team!B:B))</f>
      </c>
    </row>
    <row r="65">
      <c r="A65" t="str">
        <v/>
      </c>
      <c r="B65">
        <f>IF(A65="","",XLOOKUP(A65,Team!A:A,Team!D:D))</f>
      </c>
      <c r="C65">
        <f>IF(A65="","",XLOOKUP(A65,Team!A:A,Team!F:F))</f>
      </c>
      <c r="D65">
        <f>IF(A65="","",IFERROR(SUMIFS(Weekly_Log!E:E,Weekly_Log!A:A,$B$1,Weekly_Log!B:B,$I65),0))</f>
      </c>
      <c r="E65">
        <f>IF(A65="","",IFERROR(SUMIFS(Weekly_Log!F:F,Weekly_Log!A:A,$B$1,Weekly_Log!B:B,$I65),0))</f>
      </c>
      <c r="F65">
        <f>IF(A65="","",D65+E65)</f>
      </c>
      <c r="G65">
        <f>IF(A65="","",IF(F65&gt;=C65,"On Track",IF(F65=0,"No Output","Behind")))</f>
      </c>
      <c r="H65">
        <f>IF(A65="","",HYPERLINK(XLOOKUP(A65,Team!A:A,Team!C:C),"Open Feather"))</f>
      </c>
      <c r="I65">
        <f>IF(A65="","",XLOOKUP(A65,Team!A:A,Team!B:B))</f>
      </c>
    </row>
    <row r="66">
      <c r="A66" t="str">
        <v/>
      </c>
      <c r="B66">
        <f>IF(A66="","",XLOOKUP(A66,Team!A:A,Team!D:D))</f>
      </c>
      <c r="C66">
        <f>IF(A66="","",XLOOKUP(A66,Team!A:A,Team!F:F))</f>
      </c>
      <c r="D66">
        <f>IF(A66="","",IFERROR(SUMIFS(Weekly_Log!E:E,Weekly_Log!A:A,$B$1,Weekly_Log!B:B,$I66),0))</f>
      </c>
      <c r="E66">
        <f>IF(A66="","",IFERROR(SUMIFS(Weekly_Log!F:F,Weekly_Log!A:A,$B$1,Weekly_Log!B:B,$I66),0))</f>
      </c>
      <c r="F66">
        <f>IF(A66="","",D66+E66)</f>
      </c>
      <c r="G66">
        <f>IF(A66="","",IF(F66&gt;=C66,"On Track",IF(F66=0,"No Output","Behind")))</f>
      </c>
      <c r="H66">
        <f>IF(A66="","",HYPERLINK(XLOOKUP(A66,Team!A:A,Team!C:C),"Open Feather"))</f>
      </c>
      <c r="I66">
        <f>IF(A66="","",XLOOKUP(A66,Team!A:A,Team!B:B))</f>
      </c>
    </row>
    <row r="67">
      <c r="A67" t="str">
        <v/>
      </c>
      <c r="B67">
        <f>IF(A67="","",XLOOKUP(A67,Team!A:A,Team!D:D))</f>
      </c>
      <c r="C67">
        <f>IF(A67="","",XLOOKUP(A67,Team!A:A,Team!F:F))</f>
      </c>
      <c r="D67">
        <f>IF(A67="","",IFERROR(SUMIFS(Weekly_Log!E:E,Weekly_Log!A:A,$B$1,Weekly_Log!B:B,$I67),0))</f>
      </c>
      <c r="E67">
        <f>IF(A67="","",IFERROR(SUMIFS(Weekly_Log!F:F,Weekly_Log!A:A,$B$1,Weekly_Log!B:B,$I67),0))</f>
      </c>
      <c r="F67">
        <f>IF(A67="","",D67+E67)</f>
      </c>
      <c r="G67">
        <f>IF(A67="","",IF(F67&gt;=C67,"On Track",IF(F67=0,"No Output","Behind")))</f>
      </c>
      <c r="H67">
        <f>IF(A67="","",HYPERLINK(XLOOKUP(A67,Team!A:A,Team!C:C),"Open Feather"))</f>
      </c>
      <c r="I67">
        <f>IF(A67="","",XLOOKUP(A67,Team!A:A,Team!B:B))</f>
      </c>
    </row>
    <row r="68">
      <c r="A68" t="str">
        <v/>
      </c>
      <c r="B68">
        <f>IF(A68="","",XLOOKUP(A68,Team!A:A,Team!D:D))</f>
      </c>
      <c r="C68">
        <f>IF(A68="","",XLOOKUP(A68,Team!A:A,Team!F:F))</f>
      </c>
      <c r="D68">
        <f>IF(A68="","",IFERROR(SUMIFS(Weekly_Log!E:E,Weekly_Log!A:A,$B$1,Weekly_Log!B:B,$I68),0))</f>
      </c>
      <c r="E68">
        <f>IF(A68="","",IFERROR(SUMIFS(Weekly_Log!F:F,Weekly_Log!A:A,$B$1,Weekly_Log!B:B,$I68),0))</f>
      </c>
      <c r="F68">
        <f>IF(A68="","",D68+E68)</f>
      </c>
      <c r="G68">
        <f>IF(A68="","",IF(F68&gt;=C68,"On Track",IF(F68=0,"No Output","Behind")))</f>
      </c>
      <c r="H68">
        <f>IF(A68="","",HYPERLINK(XLOOKUP(A68,Team!A:A,Team!C:C),"Open Feather"))</f>
      </c>
      <c r="I68">
        <f>IF(A68="","",XLOOKUP(A68,Team!A:A,Team!B:B))</f>
      </c>
    </row>
    <row r="69">
      <c r="A69" t="str">
        <v/>
      </c>
      <c r="B69">
        <f>IF(A69="","",XLOOKUP(A69,Team!A:A,Team!D:D))</f>
      </c>
      <c r="C69">
        <f>IF(A69="","",XLOOKUP(A69,Team!A:A,Team!F:F))</f>
      </c>
      <c r="D69">
        <f>IF(A69="","",IFERROR(SUMIFS(Weekly_Log!E:E,Weekly_Log!A:A,$B$1,Weekly_Log!B:B,$I69),0))</f>
      </c>
      <c r="E69">
        <f>IF(A69="","",IFERROR(SUMIFS(Weekly_Log!F:F,Weekly_Log!A:A,$B$1,Weekly_Log!B:B,$I69),0))</f>
      </c>
      <c r="F69">
        <f>IF(A69="","",D69+E69)</f>
      </c>
      <c r="G69">
        <f>IF(A69="","",IF(F69&gt;=C69,"On Track",IF(F69=0,"No Output","Behind")))</f>
      </c>
      <c r="H69">
        <f>IF(A69="","",HYPERLINK(XLOOKUP(A69,Team!A:A,Team!C:C),"Open Feather"))</f>
      </c>
      <c r="I69">
        <f>IF(A69="","",XLOOKUP(A69,Team!A:A,Team!B:B))</f>
      </c>
    </row>
    <row r="70">
      <c r="A70" t="str">
        <v/>
      </c>
      <c r="B70">
        <f>IF(A70="","",XLOOKUP(A70,Team!A:A,Team!D:D))</f>
      </c>
      <c r="C70">
        <f>IF(A70="","",XLOOKUP(A70,Team!A:A,Team!F:F))</f>
      </c>
      <c r="D70">
        <f>IF(A70="","",IFERROR(SUMIFS(Weekly_Log!E:E,Weekly_Log!A:A,$B$1,Weekly_Log!B:B,$I70),0))</f>
      </c>
      <c r="E70">
        <f>IF(A70="","",IFERROR(SUMIFS(Weekly_Log!F:F,Weekly_Log!A:A,$B$1,Weekly_Log!B:B,$I70),0))</f>
      </c>
      <c r="F70">
        <f>IF(A70="","",D70+E70)</f>
      </c>
      <c r="G70">
        <f>IF(A70="","",IF(F70&gt;=C70,"On Track",IF(F70=0,"No Output","Behind")))</f>
      </c>
      <c r="H70">
        <f>IF(A70="","",HYPERLINK(XLOOKUP(A70,Team!A:A,Team!C:C),"Open Feather"))</f>
      </c>
      <c r="I70">
        <f>IF(A70="","",XLOOKUP(A70,Team!A:A,Team!B:B))</f>
      </c>
    </row>
    <row r="71">
      <c r="A71" t="str">
        <v/>
      </c>
      <c r="B71">
        <f>IF(A71="","",XLOOKUP(A71,Team!A:A,Team!D:D))</f>
      </c>
      <c r="C71">
        <f>IF(A71="","",XLOOKUP(A71,Team!A:A,Team!F:F))</f>
      </c>
      <c r="D71">
        <f>IF(A71="","",IFERROR(SUMIFS(Weekly_Log!E:E,Weekly_Log!A:A,$B$1,Weekly_Log!B:B,$I71),0))</f>
      </c>
      <c r="E71">
        <f>IF(A71="","",IFERROR(SUMIFS(Weekly_Log!F:F,Weekly_Log!A:A,$B$1,Weekly_Log!B:B,$I71),0))</f>
      </c>
      <c r="F71">
        <f>IF(A71="","",D71+E71)</f>
      </c>
      <c r="G71">
        <f>IF(A71="","",IF(F71&gt;=C71,"On Track",IF(F71=0,"No Output","Behind")))</f>
      </c>
      <c r="H71">
        <f>IF(A71="","",HYPERLINK(XLOOKUP(A71,Team!A:A,Team!C:C),"Open Feather"))</f>
      </c>
      <c r="I71">
        <f>IF(A71="","",XLOOKUP(A71,Team!A:A,Team!B:B))</f>
      </c>
    </row>
    <row r="72">
      <c r="A72" t="str">
        <v/>
      </c>
      <c r="B72">
        <f>IF(A72="","",XLOOKUP(A72,Team!A:A,Team!D:D))</f>
      </c>
      <c r="C72">
        <f>IF(A72="","",XLOOKUP(A72,Team!A:A,Team!F:F))</f>
      </c>
      <c r="D72">
        <f>IF(A72="","",IFERROR(SUMIFS(Weekly_Log!E:E,Weekly_Log!A:A,$B$1,Weekly_Log!B:B,$I72),0))</f>
      </c>
      <c r="E72">
        <f>IF(A72="","",IFERROR(SUMIFS(Weekly_Log!F:F,Weekly_Log!A:A,$B$1,Weekly_Log!B:B,$I72),0))</f>
      </c>
      <c r="F72">
        <f>IF(A72="","",D72+E72)</f>
      </c>
      <c r="G72">
        <f>IF(A72="","",IF(F72&gt;=C72,"On Track",IF(F72=0,"No Output","Behind")))</f>
      </c>
      <c r="H72">
        <f>IF(A72="","",HYPERLINK(XLOOKUP(A72,Team!A:A,Team!C:C),"Open Feather"))</f>
      </c>
      <c r="I72">
        <f>IF(A72="","",XLOOKUP(A72,Team!A:A,Team!B:B))</f>
      </c>
    </row>
    <row r="73">
      <c r="A73" t="str">
        <v/>
      </c>
      <c r="B73">
        <f>IF(A73="","",XLOOKUP(A73,Team!A:A,Team!D:D))</f>
      </c>
      <c r="C73">
        <f>IF(A73="","",XLOOKUP(A73,Team!A:A,Team!F:F))</f>
      </c>
      <c r="D73">
        <f>IF(A73="","",IFERROR(SUMIFS(Weekly_Log!E:E,Weekly_Log!A:A,$B$1,Weekly_Log!B:B,$I73),0))</f>
      </c>
      <c r="E73">
        <f>IF(A73="","",IFERROR(SUMIFS(Weekly_Log!F:F,Weekly_Log!A:A,$B$1,Weekly_Log!B:B,$I73),0))</f>
      </c>
      <c r="F73">
        <f>IF(A73="","",D73+E73)</f>
      </c>
      <c r="G73">
        <f>IF(A73="","",IF(F73&gt;=C73,"On Track",IF(F73=0,"No Output","Behind")))</f>
      </c>
      <c r="H73">
        <f>IF(A73="","",HYPERLINK(XLOOKUP(A73,Team!A:A,Team!C:C),"Open Feather"))</f>
      </c>
      <c r="I73">
        <f>IF(A73="","",XLOOKUP(A73,Team!A:A,Team!B:B))</f>
      </c>
    </row>
    <row r="74">
      <c r="A74" t="str">
        <v/>
      </c>
      <c r="B74">
        <f>IF(A74="","",XLOOKUP(A74,Team!A:A,Team!D:D))</f>
      </c>
      <c r="C74">
        <f>IF(A74="","",XLOOKUP(A74,Team!A:A,Team!F:F))</f>
      </c>
      <c r="D74">
        <f>IF(A74="","",IFERROR(SUMIFS(Weekly_Log!E:E,Weekly_Log!A:A,$B$1,Weekly_Log!B:B,$I74),0))</f>
      </c>
      <c r="E74">
        <f>IF(A74="","",IFERROR(SUMIFS(Weekly_Log!F:F,Weekly_Log!A:A,$B$1,Weekly_Log!B:B,$I74),0))</f>
      </c>
      <c r="F74">
        <f>IF(A74="","",D74+E74)</f>
      </c>
      <c r="G74">
        <f>IF(A74="","",IF(F74&gt;=C74,"On Track",IF(F74=0,"No Output","Behind")))</f>
      </c>
      <c r="H74">
        <f>IF(A74="","",HYPERLINK(XLOOKUP(A74,Team!A:A,Team!C:C),"Open Feather"))</f>
      </c>
      <c r="I74">
        <f>IF(A74="","",XLOOKUP(A74,Team!A:A,Team!B:B))</f>
      </c>
    </row>
    <row r="75">
      <c r="A75" t="str">
        <v/>
      </c>
      <c r="B75">
        <f>IF(A75="","",XLOOKUP(A75,Team!A:A,Team!D:D))</f>
      </c>
      <c r="C75">
        <f>IF(A75="","",XLOOKUP(A75,Team!A:A,Team!F:F))</f>
      </c>
      <c r="D75">
        <f>IF(A75="","",IFERROR(SUMIFS(Weekly_Log!E:E,Weekly_Log!A:A,$B$1,Weekly_Log!B:B,$I75),0))</f>
      </c>
      <c r="E75">
        <f>IF(A75="","",IFERROR(SUMIFS(Weekly_Log!F:F,Weekly_Log!A:A,$B$1,Weekly_Log!B:B,$I75),0))</f>
      </c>
      <c r="F75">
        <f>IF(A75="","",D75+E75)</f>
      </c>
      <c r="G75">
        <f>IF(A75="","",IF(F75&gt;=C75,"On Track",IF(F75=0,"No Output","Behind")))</f>
      </c>
      <c r="H75">
        <f>IF(A75="","",HYPERLINK(XLOOKUP(A75,Team!A:A,Team!C:C),"Open Feather"))</f>
      </c>
      <c r="I75">
        <f>IF(A75="","",XLOOKUP(A75,Team!A:A,Team!B:B))</f>
      </c>
    </row>
    <row r="76">
      <c r="A76" t="str">
        <v/>
      </c>
      <c r="B76">
        <f>IF(A76="","",XLOOKUP(A76,Team!A:A,Team!D:D))</f>
      </c>
      <c r="C76">
        <f>IF(A76="","",XLOOKUP(A76,Team!A:A,Team!F:F))</f>
      </c>
      <c r="D76">
        <f>IF(A76="","",IFERROR(SUMIFS(Weekly_Log!E:E,Weekly_Log!A:A,$B$1,Weekly_Log!B:B,$I76),0))</f>
      </c>
      <c r="E76">
        <f>IF(A76="","",IFERROR(SUMIFS(Weekly_Log!F:F,Weekly_Log!A:A,$B$1,Weekly_Log!B:B,$I76),0))</f>
      </c>
      <c r="F76">
        <f>IF(A76="","",D76+E76)</f>
      </c>
      <c r="G76">
        <f>IF(A76="","",IF(F76&gt;=C76,"On Track",IF(F76=0,"No Output","Behind")))</f>
      </c>
      <c r="H76">
        <f>IF(A76="","",HYPERLINK(XLOOKUP(A76,Team!A:A,Team!C:C),"Open Feather"))</f>
      </c>
      <c r="I76">
        <f>IF(A76="","",XLOOKUP(A76,Team!A:A,Team!B:B))</f>
      </c>
    </row>
    <row r="77">
      <c r="A77" t="str">
        <v/>
      </c>
      <c r="B77">
        <f>IF(A77="","",XLOOKUP(A77,Team!A:A,Team!D:D))</f>
      </c>
      <c r="C77">
        <f>IF(A77="","",XLOOKUP(A77,Team!A:A,Team!F:F))</f>
      </c>
      <c r="D77">
        <f>IF(A77="","",IFERROR(SUMIFS(Weekly_Log!E:E,Weekly_Log!A:A,$B$1,Weekly_Log!B:B,$I77),0))</f>
      </c>
      <c r="E77">
        <f>IF(A77="","",IFERROR(SUMIFS(Weekly_Log!F:F,Weekly_Log!A:A,$B$1,Weekly_Log!B:B,$I77),0))</f>
      </c>
      <c r="F77">
        <f>IF(A77="","",D77+E77)</f>
      </c>
      <c r="G77">
        <f>IF(A77="","",IF(F77&gt;=C77,"On Track",IF(F77=0,"No Output","Behind")))</f>
      </c>
      <c r="H77">
        <f>IF(A77="","",HYPERLINK(XLOOKUP(A77,Team!A:A,Team!C:C),"Open Feather"))</f>
      </c>
      <c r="I77">
        <f>IF(A77="","",XLOOKUP(A77,Team!A:A,Team!B:B))</f>
      </c>
    </row>
    <row r="78">
      <c r="A78" t="str">
        <v/>
      </c>
      <c r="B78">
        <f>IF(A78="","",XLOOKUP(A78,Team!A:A,Team!D:D))</f>
      </c>
      <c r="C78">
        <f>IF(A78="","",XLOOKUP(A78,Team!A:A,Team!F:F))</f>
      </c>
      <c r="D78">
        <f>IF(A78="","",IFERROR(SUMIFS(Weekly_Log!E:E,Weekly_Log!A:A,$B$1,Weekly_Log!B:B,$I78),0))</f>
      </c>
      <c r="E78">
        <f>IF(A78="","",IFERROR(SUMIFS(Weekly_Log!F:F,Weekly_Log!A:A,$B$1,Weekly_Log!B:B,$I78),0))</f>
      </c>
      <c r="F78">
        <f>IF(A78="","",D78+E78)</f>
      </c>
      <c r="G78">
        <f>IF(A78="","",IF(F78&gt;=C78,"On Track",IF(F78=0,"No Output","Behind")))</f>
      </c>
      <c r="H78">
        <f>IF(A78="","",HYPERLINK(XLOOKUP(A78,Team!A:A,Team!C:C),"Open Feather"))</f>
      </c>
      <c r="I78">
        <f>IF(A78="","",XLOOKUP(A78,Team!A:A,Team!B:B))</f>
      </c>
    </row>
    <row r="79">
      <c r="A79" t="str">
        <v/>
      </c>
      <c r="B79">
        <f>IF(A79="","",XLOOKUP(A79,Team!A:A,Team!D:D))</f>
      </c>
      <c r="C79">
        <f>IF(A79="","",XLOOKUP(A79,Team!A:A,Team!F:F))</f>
      </c>
      <c r="D79">
        <f>IF(A79="","",IFERROR(SUMIFS(Weekly_Log!E:E,Weekly_Log!A:A,$B$1,Weekly_Log!B:B,$I79),0))</f>
      </c>
      <c r="E79">
        <f>IF(A79="","",IFERROR(SUMIFS(Weekly_Log!F:F,Weekly_Log!A:A,$B$1,Weekly_Log!B:B,$I79),0))</f>
      </c>
      <c r="F79">
        <f>IF(A79="","",D79+E79)</f>
      </c>
      <c r="G79">
        <f>IF(A79="","",IF(F79&gt;=C79,"On Track",IF(F79=0,"No Output","Behind")))</f>
      </c>
      <c r="H79">
        <f>IF(A79="","",HYPERLINK(XLOOKUP(A79,Team!A:A,Team!C:C),"Open Feather"))</f>
      </c>
      <c r="I79">
        <f>IF(A79="","",XLOOKUP(A79,Team!A:A,Team!B:B))</f>
      </c>
    </row>
    <row r="80">
      <c r="A80" t="str">
        <v/>
      </c>
      <c r="B80">
        <f>IF(A80="","",XLOOKUP(A80,Team!A:A,Team!D:D))</f>
      </c>
      <c r="C80">
        <f>IF(A80="","",XLOOKUP(A80,Team!A:A,Team!F:F))</f>
      </c>
      <c r="D80">
        <f>IF(A80="","",IFERROR(SUMIFS(Weekly_Log!E:E,Weekly_Log!A:A,$B$1,Weekly_Log!B:B,$I80),0))</f>
      </c>
      <c r="E80">
        <f>IF(A80="","",IFERROR(SUMIFS(Weekly_Log!F:F,Weekly_Log!A:A,$B$1,Weekly_Log!B:B,$I80),0))</f>
      </c>
      <c r="F80">
        <f>IF(A80="","",D80+E80)</f>
      </c>
      <c r="G80">
        <f>IF(A80="","",IF(F80&gt;=C80,"On Track",IF(F80=0,"No Output","Behind")))</f>
      </c>
      <c r="H80">
        <f>IF(A80="","",HYPERLINK(XLOOKUP(A80,Team!A:A,Team!C:C),"Open Feather"))</f>
      </c>
      <c r="I80">
        <f>IF(A80="","",XLOOKUP(A80,Team!A:A,Team!B:B))</f>
      </c>
    </row>
    <row r="81">
      <c r="A81" t="str">
        <v/>
      </c>
      <c r="B81">
        <f>IF(A81="","",XLOOKUP(A81,Team!A:A,Team!D:D))</f>
      </c>
      <c r="C81">
        <f>IF(A81="","",XLOOKUP(A81,Team!A:A,Team!F:F))</f>
      </c>
      <c r="D81">
        <f>IF(A81="","",IFERROR(SUMIFS(Weekly_Log!E:E,Weekly_Log!A:A,$B$1,Weekly_Log!B:B,$I81),0))</f>
      </c>
      <c r="E81">
        <f>IF(A81="","",IFERROR(SUMIFS(Weekly_Log!F:F,Weekly_Log!A:A,$B$1,Weekly_Log!B:B,$I81),0))</f>
      </c>
      <c r="F81">
        <f>IF(A81="","",D81+E81)</f>
      </c>
      <c r="G81">
        <f>IF(A81="","",IF(F81&gt;=C81,"On Track",IF(F81=0,"No Output","Behind")))</f>
      </c>
      <c r="H81">
        <f>IF(A81="","",HYPERLINK(XLOOKUP(A81,Team!A:A,Team!C:C),"Open Feather"))</f>
      </c>
      <c r="I81">
        <f>IF(A81="","",XLOOKUP(A81,Team!A:A,Team!B:B))</f>
      </c>
    </row>
    <row r="82">
      <c r="A82" t="str">
        <v/>
      </c>
      <c r="B82">
        <f>IF(A82="","",XLOOKUP(A82,Team!A:A,Team!D:D))</f>
      </c>
      <c r="C82">
        <f>IF(A82="","",XLOOKUP(A82,Team!A:A,Team!F:F))</f>
      </c>
      <c r="D82">
        <f>IF(A82="","",IFERROR(SUMIFS(Weekly_Log!E:E,Weekly_Log!A:A,$B$1,Weekly_Log!B:B,$I82),0))</f>
      </c>
      <c r="E82">
        <f>IF(A82="","",IFERROR(SUMIFS(Weekly_Log!F:F,Weekly_Log!A:A,$B$1,Weekly_Log!B:B,$I82),0))</f>
      </c>
      <c r="F82">
        <f>IF(A82="","",D82+E82)</f>
      </c>
      <c r="G82">
        <f>IF(A82="","",IF(F82&gt;=C82,"On Track",IF(F82=0,"No Output","Behind")))</f>
      </c>
      <c r="H82">
        <f>IF(A82="","",HYPERLINK(XLOOKUP(A82,Team!A:A,Team!C:C),"Open Feather"))</f>
      </c>
      <c r="I82">
        <f>IF(A82="","",XLOOKUP(A82,Team!A:A,Team!B:B))</f>
      </c>
    </row>
    <row r="83">
      <c r="A83" t="str">
        <v/>
      </c>
      <c r="B83">
        <f>IF(A83="","",XLOOKUP(A83,Team!A:A,Team!D:D))</f>
      </c>
      <c r="C83">
        <f>IF(A83="","",XLOOKUP(A83,Team!A:A,Team!F:F))</f>
      </c>
      <c r="D83">
        <f>IF(A83="","",IFERROR(SUMIFS(Weekly_Log!E:E,Weekly_Log!A:A,$B$1,Weekly_Log!B:B,$I83),0))</f>
      </c>
      <c r="E83">
        <f>IF(A83="","",IFERROR(SUMIFS(Weekly_Log!F:F,Weekly_Log!A:A,$B$1,Weekly_Log!B:B,$I83),0))</f>
      </c>
      <c r="F83">
        <f>IF(A83="","",D83+E83)</f>
      </c>
      <c r="G83">
        <f>IF(A83="","",IF(F83&gt;=C83,"On Track",IF(F83=0,"No Output","Behind")))</f>
      </c>
      <c r="H83">
        <f>IF(A83="","",HYPERLINK(XLOOKUP(A83,Team!A:A,Team!C:C),"Open Feather"))</f>
      </c>
      <c r="I83">
        <f>IF(A83="","",XLOOKUP(A83,Team!A:A,Team!B:B))</f>
      </c>
    </row>
    <row r="84">
      <c r="A84" t="str">
        <v/>
      </c>
      <c r="B84">
        <f>IF(A84="","",XLOOKUP(A84,Team!A:A,Team!D:D))</f>
      </c>
      <c r="C84">
        <f>IF(A84="","",XLOOKUP(A84,Team!A:A,Team!F:F))</f>
      </c>
      <c r="D84">
        <f>IF(A84="","",IFERROR(SUMIFS(Weekly_Log!E:E,Weekly_Log!A:A,$B$1,Weekly_Log!B:B,$I84),0))</f>
      </c>
      <c r="E84">
        <f>IF(A84="","",IFERROR(SUMIFS(Weekly_Log!F:F,Weekly_Log!A:A,$B$1,Weekly_Log!B:B,$I84),0))</f>
      </c>
      <c r="F84">
        <f>IF(A84="","",D84+E84)</f>
      </c>
      <c r="G84">
        <f>IF(A84="","",IF(F84&gt;=C84,"On Track",IF(F84=0,"No Output","Behind")))</f>
      </c>
      <c r="H84">
        <f>IF(A84="","",HYPERLINK(XLOOKUP(A84,Team!A:A,Team!C:C),"Open Feather"))</f>
      </c>
      <c r="I84">
        <f>IF(A84="","",XLOOKUP(A84,Team!A:A,Team!B:B))</f>
      </c>
    </row>
    <row r="85">
      <c r="A85" t="str">
        <v/>
      </c>
      <c r="B85">
        <f>IF(A85="","",XLOOKUP(A85,Team!A:A,Team!D:D))</f>
      </c>
      <c r="C85">
        <f>IF(A85="","",XLOOKUP(A85,Team!A:A,Team!F:F))</f>
      </c>
      <c r="D85">
        <f>IF(A85="","",IFERROR(SUMIFS(Weekly_Log!E:E,Weekly_Log!A:A,$B$1,Weekly_Log!B:B,$I85),0))</f>
      </c>
      <c r="E85">
        <f>IF(A85="","",IFERROR(SUMIFS(Weekly_Log!F:F,Weekly_Log!A:A,$B$1,Weekly_Log!B:B,$I85),0))</f>
      </c>
      <c r="F85">
        <f>IF(A85="","",D85+E85)</f>
      </c>
      <c r="G85">
        <f>IF(A85="","",IF(F85&gt;=C85,"On Track",IF(F85=0,"No Output","Behind")))</f>
      </c>
      <c r="H85">
        <f>IF(A85="","",HYPERLINK(XLOOKUP(A85,Team!A:A,Team!C:C),"Open Feather"))</f>
      </c>
      <c r="I85">
        <f>IF(A85="","",XLOOKUP(A85,Team!A:A,Team!B:B))</f>
      </c>
    </row>
    <row r="86">
      <c r="A86" t="str">
        <v/>
      </c>
      <c r="B86">
        <f>IF(A86="","",XLOOKUP(A86,Team!A:A,Team!D:D))</f>
      </c>
      <c r="C86">
        <f>IF(A86="","",XLOOKUP(A86,Team!A:A,Team!F:F))</f>
      </c>
      <c r="D86">
        <f>IF(A86="","",IFERROR(SUMIFS(Weekly_Log!E:E,Weekly_Log!A:A,$B$1,Weekly_Log!B:B,$I86),0))</f>
      </c>
      <c r="E86">
        <f>IF(A86="","",IFERROR(SUMIFS(Weekly_Log!F:F,Weekly_Log!A:A,$B$1,Weekly_Log!B:B,$I86),0))</f>
      </c>
      <c r="F86">
        <f>IF(A86="","",D86+E86)</f>
      </c>
      <c r="G86">
        <f>IF(A86="","",IF(F86&gt;=C86,"On Track",IF(F86=0,"No Output","Behind")))</f>
      </c>
      <c r="H86">
        <f>IF(A86="","",HYPERLINK(XLOOKUP(A86,Team!A:A,Team!C:C),"Open Feather"))</f>
      </c>
      <c r="I86">
        <f>IF(A86="","",XLOOKUP(A86,Team!A:A,Team!B:B))</f>
      </c>
    </row>
    <row r="87">
      <c r="A87" t="str">
        <v/>
      </c>
      <c r="B87">
        <f>IF(A87="","",XLOOKUP(A87,Team!A:A,Team!D:D))</f>
      </c>
      <c r="C87">
        <f>IF(A87="","",XLOOKUP(A87,Team!A:A,Team!F:F))</f>
      </c>
      <c r="D87">
        <f>IF(A87="","",IFERROR(SUMIFS(Weekly_Log!E:E,Weekly_Log!A:A,$B$1,Weekly_Log!B:B,$I87),0))</f>
      </c>
      <c r="E87">
        <f>IF(A87="","",IFERROR(SUMIFS(Weekly_Log!F:F,Weekly_Log!A:A,$B$1,Weekly_Log!B:B,$I87),0))</f>
      </c>
      <c r="F87">
        <f>IF(A87="","",D87+E87)</f>
      </c>
      <c r="G87">
        <f>IF(A87="","",IF(F87&gt;=C87,"On Track",IF(F87=0,"No Output","Behind")))</f>
      </c>
      <c r="H87">
        <f>IF(A87="","",HYPERLINK(XLOOKUP(A87,Team!A:A,Team!C:C),"Open Feather"))</f>
      </c>
      <c r="I87">
        <f>IF(A87="","",XLOOKUP(A87,Team!A:A,Team!B:B))</f>
      </c>
    </row>
    <row r="88">
      <c r="A88" t="str">
        <v/>
      </c>
      <c r="B88">
        <f>IF(A88="","",XLOOKUP(A88,Team!A:A,Team!D:D))</f>
      </c>
      <c r="C88">
        <f>IF(A88="","",XLOOKUP(A88,Team!A:A,Team!F:F))</f>
      </c>
      <c r="D88">
        <f>IF(A88="","",IFERROR(SUMIFS(Weekly_Log!E:E,Weekly_Log!A:A,$B$1,Weekly_Log!B:B,$I88),0))</f>
      </c>
      <c r="E88">
        <f>IF(A88="","",IFERROR(SUMIFS(Weekly_Log!F:F,Weekly_Log!A:A,$B$1,Weekly_Log!B:B,$I88),0))</f>
      </c>
      <c r="F88">
        <f>IF(A88="","",D88+E88)</f>
      </c>
      <c r="G88">
        <f>IF(A88="","",IF(F88&gt;=C88,"On Track",IF(F88=0,"No Output","Behind")))</f>
      </c>
      <c r="H88">
        <f>IF(A88="","",HYPERLINK(XLOOKUP(A88,Team!A:A,Team!C:C),"Open Feather"))</f>
      </c>
      <c r="I88">
        <f>IF(A88="","",XLOOKUP(A88,Team!A:A,Team!B:B))</f>
      </c>
    </row>
    <row r="89">
      <c r="A89" t="str">
        <v/>
      </c>
      <c r="B89">
        <f>IF(A89="","",XLOOKUP(A89,Team!A:A,Team!D:D))</f>
      </c>
      <c r="C89">
        <f>IF(A89="","",XLOOKUP(A89,Team!A:A,Team!F:F))</f>
      </c>
      <c r="D89">
        <f>IF(A89="","",IFERROR(SUMIFS(Weekly_Log!E:E,Weekly_Log!A:A,$B$1,Weekly_Log!B:B,$I89),0))</f>
      </c>
      <c r="E89">
        <f>IF(A89="","",IFERROR(SUMIFS(Weekly_Log!F:F,Weekly_Log!A:A,$B$1,Weekly_Log!B:B,$I89),0))</f>
      </c>
      <c r="F89">
        <f>IF(A89="","",D89+E89)</f>
      </c>
      <c r="G89">
        <f>IF(A89="","",IF(F89&gt;=C89,"On Track",IF(F89=0,"No Output","Behind")))</f>
      </c>
      <c r="H89">
        <f>IF(A89="","",HYPERLINK(XLOOKUP(A89,Team!A:A,Team!C:C),"Open Feather"))</f>
      </c>
      <c r="I89">
        <f>IF(A89="","",XLOOKUP(A89,Team!A:A,Team!B:B))</f>
      </c>
    </row>
    <row r="90">
      <c r="A90" t="str">
        <v/>
      </c>
      <c r="B90">
        <f>IF(A90="","",XLOOKUP(A90,Team!A:A,Team!D:D))</f>
      </c>
      <c r="C90">
        <f>IF(A90="","",XLOOKUP(A90,Team!A:A,Team!F:F))</f>
      </c>
      <c r="D90">
        <f>IF(A90="","",IFERROR(SUMIFS(Weekly_Log!E:E,Weekly_Log!A:A,$B$1,Weekly_Log!B:B,$I90),0))</f>
      </c>
      <c r="E90">
        <f>IF(A90="","",IFERROR(SUMIFS(Weekly_Log!F:F,Weekly_Log!A:A,$B$1,Weekly_Log!B:B,$I90),0))</f>
      </c>
      <c r="F90">
        <f>IF(A90="","",D90+E90)</f>
      </c>
      <c r="G90">
        <f>IF(A90="","",IF(F90&gt;=C90,"On Track",IF(F90=0,"No Output","Behind")))</f>
      </c>
      <c r="H90">
        <f>IF(A90="","",HYPERLINK(XLOOKUP(A90,Team!A:A,Team!C:C),"Open Feather"))</f>
      </c>
      <c r="I90">
        <f>IF(A90="","",XLOOKUP(A90,Team!A:A,Team!B:B))</f>
      </c>
    </row>
    <row r="91">
      <c r="A91" t="str">
        <v/>
      </c>
      <c r="B91">
        <f>IF(A91="","",XLOOKUP(A91,Team!A:A,Team!D:D))</f>
      </c>
      <c r="C91">
        <f>IF(A91="","",XLOOKUP(A91,Team!A:A,Team!F:F))</f>
      </c>
      <c r="D91">
        <f>IF(A91="","",IFERROR(SUMIFS(Weekly_Log!E:E,Weekly_Log!A:A,$B$1,Weekly_Log!B:B,$I91),0))</f>
      </c>
      <c r="E91">
        <f>IF(A91="","",IFERROR(SUMIFS(Weekly_Log!F:F,Weekly_Log!A:A,$B$1,Weekly_Log!B:B,$I91),0))</f>
      </c>
      <c r="F91">
        <f>IF(A91="","",D91+E91)</f>
      </c>
      <c r="G91">
        <f>IF(A91="","",IF(F91&gt;=C91,"On Track",IF(F91=0,"No Output","Behind")))</f>
      </c>
      <c r="H91">
        <f>IF(A91="","",HYPERLINK(XLOOKUP(A91,Team!A:A,Team!C:C),"Open Feather"))</f>
      </c>
      <c r="I91">
        <f>IF(A91="","",XLOOKUP(A91,Team!A:A,Team!B:B))</f>
      </c>
    </row>
    <row r="92">
      <c r="A92" t="str">
        <v/>
      </c>
      <c r="B92">
        <f>IF(A92="","",XLOOKUP(A92,Team!A:A,Team!D:D))</f>
      </c>
      <c r="C92">
        <f>IF(A92="","",XLOOKUP(A92,Team!A:A,Team!F:F))</f>
      </c>
      <c r="D92">
        <f>IF(A92="","",IFERROR(SUMIFS(Weekly_Log!E:E,Weekly_Log!A:A,$B$1,Weekly_Log!B:B,$I92),0))</f>
      </c>
      <c r="E92">
        <f>IF(A92="","",IFERROR(SUMIFS(Weekly_Log!F:F,Weekly_Log!A:A,$B$1,Weekly_Log!B:B,$I92),0))</f>
      </c>
      <c r="F92">
        <f>IF(A92="","",D92+E92)</f>
      </c>
      <c r="G92">
        <f>IF(A92="","",IF(F92&gt;=C92,"On Track",IF(F92=0,"No Output","Behind")))</f>
      </c>
      <c r="H92">
        <f>IF(A92="","",HYPERLINK(XLOOKUP(A92,Team!A:A,Team!C:C),"Open Feather"))</f>
      </c>
      <c r="I92">
        <f>IF(A92="","",XLOOKUP(A92,Team!A:A,Team!B:B))</f>
      </c>
    </row>
    <row r="93">
      <c r="A93" t="str">
        <v/>
      </c>
      <c r="B93">
        <f>IF(A93="","",XLOOKUP(A93,Team!A:A,Team!D:D))</f>
      </c>
      <c r="C93">
        <f>IF(A93="","",XLOOKUP(A93,Team!A:A,Team!F:F))</f>
      </c>
      <c r="D93">
        <f>IF(A93="","",IFERROR(SUMIFS(Weekly_Log!E:E,Weekly_Log!A:A,$B$1,Weekly_Log!B:B,$I93),0))</f>
      </c>
      <c r="E93">
        <f>IF(A93="","",IFERROR(SUMIFS(Weekly_Log!F:F,Weekly_Log!A:A,$B$1,Weekly_Log!B:B,$I93),0))</f>
      </c>
      <c r="F93">
        <f>IF(A93="","",D93+E93)</f>
      </c>
      <c r="G93">
        <f>IF(A93="","",IF(F93&gt;=C93,"On Track",IF(F93=0,"No Output","Behind")))</f>
      </c>
      <c r="H93">
        <f>IF(A93="","",HYPERLINK(XLOOKUP(A93,Team!A:A,Team!C:C),"Open Feather"))</f>
      </c>
      <c r="I93">
        <f>IF(A93="","",XLOOKUP(A93,Team!A:A,Team!B:B))</f>
      </c>
    </row>
    <row r="94">
      <c r="A94" t="str">
        <v/>
      </c>
      <c r="B94">
        <f>IF(A94="","",XLOOKUP(A94,Team!A:A,Team!D:D))</f>
      </c>
      <c r="C94">
        <f>IF(A94="","",XLOOKUP(A94,Team!A:A,Team!F:F))</f>
      </c>
      <c r="D94">
        <f>IF(A94="","",IFERROR(SUMIFS(Weekly_Log!E:E,Weekly_Log!A:A,$B$1,Weekly_Log!B:B,$I94),0))</f>
      </c>
      <c r="E94">
        <f>IF(A94="","",IFERROR(SUMIFS(Weekly_Log!F:F,Weekly_Log!A:A,$B$1,Weekly_Log!B:B,$I94),0))</f>
      </c>
      <c r="F94">
        <f>IF(A94="","",D94+E94)</f>
      </c>
      <c r="G94">
        <f>IF(A94="","",IF(F94&gt;=C94,"On Track",IF(F94=0,"No Output","Behind")))</f>
      </c>
      <c r="H94">
        <f>IF(A94="","",HYPERLINK(XLOOKUP(A94,Team!A:A,Team!C:C),"Open Feather"))</f>
      </c>
      <c r="I94">
        <f>IF(A94="","",XLOOKUP(A94,Team!A:A,Team!B:B))</f>
      </c>
    </row>
    <row r="95">
      <c r="A95" t="str">
        <v/>
      </c>
      <c r="B95">
        <f>IF(A95="","",XLOOKUP(A95,Team!A:A,Team!D:D))</f>
      </c>
      <c r="C95">
        <f>IF(A95="","",XLOOKUP(A95,Team!A:A,Team!F:F))</f>
      </c>
      <c r="D95">
        <f>IF(A95="","",IFERROR(SUMIFS(Weekly_Log!E:E,Weekly_Log!A:A,$B$1,Weekly_Log!B:B,$I95),0))</f>
      </c>
      <c r="E95">
        <f>IF(A95="","",IFERROR(SUMIFS(Weekly_Log!F:F,Weekly_Log!A:A,$B$1,Weekly_Log!B:B,$I95),0))</f>
      </c>
      <c r="F95">
        <f>IF(A95="","",D95+E95)</f>
      </c>
      <c r="G95">
        <f>IF(A95="","",IF(F95&gt;=C95,"On Track",IF(F95=0,"No Output","Behind")))</f>
      </c>
      <c r="H95">
        <f>IF(A95="","",HYPERLINK(XLOOKUP(A95,Team!A:A,Team!C:C),"Open Feather"))</f>
      </c>
      <c r="I95">
        <f>IF(A95="","",XLOOKUP(A95,Team!A:A,Team!B:B))</f>
      </c>
    </row>
    <row r="96">
      <c r="A96" t="str">
        <v/>
      </c>
      <c r="B96">
        <f>IF(A96="","",XLOOKUP(A96,Team!A:A,Team!D:D))</f>
      </c>
      <c r="C96">
        <f>IF(A96="","",XLOOKUP(A96,Team!A:A,Team!F:F))</f>
      </c>
      <c r="D96">
        <f>IF(A96="","",IFERROR(SUMIFS(Weekly_Log!E:E,Weekly_Log!A:A,$B$1,Weekly_Log!B:B,$I96),0))</f>
      </c>
      <c r="E96">
        <f>IF(A96="","",IFERROR(SUMIFS(Weekly_Log!F:F,Weekly_Log!A:A,$B$1,Weekly_Log!B:B,$I96),0))</f>
      </c>
      <c r="F96">
        <f>IF(A96="","",D96+E96)</f>
      </c>
      <c r="G96">
        <f>IF(A96="","",IF(F96&gt;=C96,"On Track",IF(F96=0,"No Output","Behind")))</f>
      </c>
      <c r="H96">
        <f>IF(A96="","",HYPERLINK(XLOOKUP(A96,Team!A:A,Team!C:C),"Open Feather"))</f>
      </c>
      <c r="I96">
        <f>IF(A96="","",XLOOKUP(A96,Team!A:A,Team!B:B))</f>
      </c>
    </row>
    <row r="97">
      <c r="A97" t="str">
        <v/>
      </c>
      <c r="B97">
        <f>IF(A97="","",XLOOKUP(A97,Team!A:A,Team!D:D))</f>
      </c>
      <c r="C97">
        <f>IF(A97="","",XLOOKUP(A97,Team!A:A,Team!F:F))</f>
      </c>
      <c r="D97">
        <f>IF(A97="","",IFERROR(SUMIFS(Weekly_Log!E:E,Weekly_Log!A:A,$B$1,Weekly_Log!B:B,$I97),0))</f>
      </c>
      <c r="E97">
        <f>IF(A97="","",IFERROR(SUMIFS(Weekly_Log!F:F,Weekly_Log!A:A,$B$1,Weekly_Log!B:B,$I97),0))</f>
      </c>
      <c r="F97">
        <f>IF(A97="","",D97+E97)</f>
      </c>
      <c r="G97">
        <f>IF(A97="","",IF(F97&gt;=C97,"On Track",IF(F97=0,"No Output","Behind")))</f>
      </c>
      <c r="H97">
        <f>IF(A97="","",HYPERLINK(XLOOKUP(A97,Team!A:A,Team!C:C),"Open Feather"))</f>
      </c>
      <c r="I97">
        <f>IF(A97="","",XLOOKUP(A97,Team!A:A,Team!B:B))</f>
      </c>
    </row>
    <row r="98">
      <c r="A98" t="str">
        <v/>
      </c>
      <c r="B98">
        <f>IF(A98="","",XLOOKUP(A98,Team!A:A,Team!D:D))</f>
      </c>
      <c r="C98">
        <f>IF(A98="","",XLOOKUP(A98,Team!A:A,Team!F:F))</f>
      </c>
      <c r="D98">
        <f>IF(A98="","",IFERROR(SUMIFS(Weekly_Log!E:E,Weekly_Log!A:A,$B$1,Weekly_Log!B:B,$I98),0))</f>
      </c>
      <c r="E98">
        <f>IF(A98="","",IFERROR(SUMIFS(Weekly_Log!F:F,Weekly_Log!A:A,$B$1,Weekly_Log!B:B,$I98),0))</f>
      </c>
      <c r="F98">
        <f>IF(A98="","",D98+E98)</f>
      </c>
      <c r="G98">
        <f>IF(A98="","",IF(F98&gt;=C98,"On Track",IF(F98=0,"No Output","Behind")))</f>
      </c>
      <c r="H98">
        <f>IF(A98="","",HYPERLINK(XLOOKUP(A98,Team!A:A,Team!C:C),"Open Feather"))</f>
      </c>
      <c r="I98">
        <f>IF(A98="","",XLOOKUP(A98,Team!A:A,Team!B:B))</f>
      </c>
    </row>
    <row r="99">
      <c r="A99" t="str">
        <v/>
      </c>
      <c r="B99">
        <f>IF(A99="","",XLOOKUP(A99,Team!A:A,Team!D:D))</f>
      </c>
      <c r="C99">
        <f>IF(A99="","",XLOOKUP(A99,Team!A:A,Team!F:F))</f>
      </c>
      <c r="D99">
        <f>IF(A99="","",IFERROR(SUMIFS(Weekly_Log!E:E,Weekly_Log!A:A,$B$1,Weekly_Log!B:B,$I99),0))</f>
      </c>
      <c r="E99">
        <f>IF(A99="","",IFERROR(SUMIFS(Weekly_Log!F:F,Weekly_Log!A:A,$B$1,Weekly_Log!B:B,$I99),0))</f>
      </c>
      <c r="F99">
        <f>IF(A99="","",D99+E99)</f>
      </c>
      <c r="G99">
        <f>IF(A99="","",IF(F99&gt;=C99,"On Track",IF(F99=0,"No Output","Behind")))</f>
      </c>
      <c r="H99">
        <f>IF(A99="","",HYPERLINK(XLOOKUP(A99,Team!A:A,Team!C:C),"Open Feather"))</f>
      </c>
      <c r="I99">
        <f>IF(A99="","",XLOOKUP(A99,Team!A:A,Team!B:B))</f>
      </c>
    </row>
    <row r="100">
      <c r="A100" t="str">
        <v/>
      </c>
      <c r="B100">
        <f>IF(A100="","",XLOOKUP(A100,Team!A:A,Team!D:D))</f>
      </c>
      <c r="C100">
        <f>IF(A100="","",XLOOKUP(A100,Team!A:A,Team!F:F))</f>
      </c>
      <c r="D100">
        <f>IF(A100="","",IFERROR(SUMIFS(Weekly_Log!E:E,Weekly_Log!A:A,$B$1,Weekly_Log!B:B,$I100),0))</f>
      </c>
      <c r="E100">
        <f>IF(A100="","",IFERROR(SUMIFS(Weekly_Log!F:F,Weekly_Log!A:A,$B$1,Weekly_Log!B:B,$I100),0))</f>
      </c>
      <c r="F100">
        <f>IF(A100="","",D100+E100)</f>
      </c>
      <c r="G100">
        <f>IF(A100="","",IF(F100&gt;=C100,"On Track",IF(F100=0,"No Output","Behind")))</f>
      </c>
      <c r="H100">
        <f>IF(A100="","",HYPERLINK(XLOOKUP(A100,Team!A:A,Team!C:C),"Open Feather"))</f>
      </c>
      <c r="I100">
        <f>IF(A100="","",XLOOKUP(A100,Team!A:A,Team!B:B))</f>
      </c>
    </row>
    <row r="101">
      <c r="A101" t="str">
        <v/>
      </c>
      <c r="B101">
        <f>IF(A101="","",XLOOKUP(A101,Team!A:A,Team!D:D))</f>
      </c>
      <c r="C101">
        <f>IF(A101="","",XLOOKUP(A101,Team!A:A,Team!F:F))</f>
      </c>
      <c r="D101">
        <f>IF(A101="","",IFERROR(SUMIFS(Weekly_Log!E:E,Weekly_Log!A:A,$B$1,Weekly_Log!B:B,$I101),0))</f>
      </c>
      <c r="E101">
        <f>IF(A101="","",IFERROR(SUMIFS(Weekly_Log!F:F,Weekly_Log!A:A,$B$1,Weekly_Log!B:B,$I101),0))</f>
      </c>
      <c r="F101">
        <f>IF(A101="","",D101+E101)</f>
      </c>
      <c r="G101">
        <f>IF(A101="","",IF(F101&gt;=C101,"On Track",IF(F101=0,"No Output","Behind")))</f>
      </c>
      <c r="H101">
        <f>IF(A101="","",HYPERLINK(XLOOKUP(A101,Team!A:A,Team!C:C),"Open Feather"))</f>
      </c>
      <c r="I101">
        <f>IF(A101="","",XLOOKUP(A101,Team!A:A,Team!B:B))</f>
      </c>
    </row>
    <row r="102">
      <c r="A102" t="str">
        <v/>
      </c>
      <c r="B102">
        <f>IF(A102="","",XLOOKUP(A102,Team!A:A,Team!D:D))</f>
      </c>
      <c r="C102">
        <f>IF(A102="","",XLOOKUP(A102,Team!A:A,Team!F:F))</f>
      </c>
      <c r="D102">
        <f>IF(A102="","",IFERROR(SUMIFS(Weekly_Log!E:E,Weekly_Log!A:A,$B$1,Weekly_Log!B:B,$I102),0))</f>
      </c>
      <c r="E102">
        <f>IF(A102="","",IFERROR(SUMIFS(Weekly_Log!F:F,Weekly_Log!A:A,$B$1,Weekly_Log!B:B,$I102),0))</f>
      </c>
      <c r="F102">
        <f>IF(A102="","",D102+E102)</f>
      </c>
      <c r="G102">
        <f>IF(A102="","",IF(F102&gt;=C102,"On Track",IF(F102=0,"No Output","Behind")))</f>
      </c>
      <c r="H102">
        <f>IF(A102="","",HYPERLINK(XLOOKUP(A102,Team!A:A,Team!C:C),"Open Feather"))</f>
      </c>
      <c r="I102">
        <f>IF(A102="","",XLOOKUP(A102,Team!A:A,Team!B:B))</f>
      </c>
    </row>
    <row r="103">
      <c r="A103" t="str">
        <v/>
      </c>
      <c r="B103">
        <f>IF(A103="","",XLOOKUP(A103,Team!A:A,Team!D:D))</f>
      </c>
      <c r="C103">
        <f>IF(A103="","",XLOOKUP(A103,Team!A:A,Team!F:F))</f>
      </c>
      <c r="D103">
        <f>IF(A103="","",IFERROR(SUMIFS(Weekly_Log!E:E,Weekly_Log!A:A,$B$1,Weekly_Log!B:B,$I103),0))</f>
      </c>
      <c r="E103">
        <f>IF(A103="","",IFERROR(SUMIFS(Weekly_Log!F:F,Weekly_Log!A:A,$B$1,Weekly_Log!B:B,$I103),0))</f>
      </c>
      <c r="F103">
        <f>IF(A103="","",D103+E103)</f>
      </c>
      <c r="G103">
        <f>IF(A103="","",IF(F103&gt;=C103,"On Track",IF(F103=0,"No Output","Behind")))</f>
      </c>
      <c r="H103">
        <f>IF(A103="","",HYPERLINK(XLOOKUP(A103,Team!A:A,Team!C:C),"Open Feather"))</f>
      </c>
      <c r="I103">
        <f>IF(A103="","",XLOOKUP(A103,Team!A:A,Team!B:B))</f>
      </c>
    </row>
    <row r="104">
      <c r="A104" t="str">
        <v/>
      </c>
      <c r="B104">
        <f>IF(A104="","",XLOOKUP(A104,Team!A:A,Team!D:D))</f>
      </c>
      <c r="C104">
        <f>IF(A104="","",XLOOKUP(A104,Team!A:A,Team!F:F))</f>
      </c>
      <c r="D104">
        <f>IF(A104="","",IFERROR(SUMIFS(Weekly_Log!E:E,Weekly_Log!A:A,$B$1,Weekly_Log!B:B,$I104),0))</f>
      </c>
      <c r="E104">
        <f>IF(A104="","",IFERROR(SUMIFS(Weekly_Log!F:F,Weekly_Log!A:A,$B$1,Weekly_Log!B:B,$I104),0))</f>
      </c>
      <c r="F104">
        <f>IF(A104="","",D104+E104)</f>
      </c>
      <c r="G104">
        <f>IF(A104="","",IF(F104&gt;=C104,"On Track",IF(F104=0,"No Output","Behind")))</f>
      </c>
      <c r="H104">
        <f>IF(A104="","",HYPERLINK(XLOOKUP(A104,Team!A:A,Team!C:C),"Open Feather"))</f>
      </c>
      <c r="I104">
        <f>IF(A104="","",XLOOKUP(A104,Team!A:A,Team!B:B))</f>
      </c>
    </row>
    <row r="105">
      <c r="A105" t="str">
        <v/>
      </c>
      <c r="B105">
        <f>IF(A105="","",XLOOKUP(A105,Team!A:A,Team!D:D))</f>
      </c>
      <c r="C105">
        <f>IF(A105="","",XLOOKUP(A105,Team!A:A,Team!F:F))</f>
      </c>
      <c r="D105">
        <f>IF(A105="","",IFERROR(SUMIFS(Weekly_Log!E:E,Weekly_Log!A:A,$B$1,Weekly_Log!B:B,$I105),0))</f>
      </c>
      <c r="E105">
        <f>IF(A105="","",IFERROR(SUMIFS(Weekly_Log!F:F,Weekly_Log!A:A,$B$1,Weekly_Log!B:B,$I105),0))</f>
      </c>
      <c r="F105">
        <f>IF(A105="","",D105+E105)</f>
      </c>
      <c r="G105">
        <f>IF(A105="","",IF(F105&gt;=C105,"On Track",IF(F105=0,"No Output","Behind")))</f>
      </c>
      <c r="H105">
        <f>IF(A105="","",HYPERLINK(XLOOKUP(A105,Team!A:A,Team!C:C),"Open Feather"))</f>
      </c>
      <c r="I105">
        <f>IF(A105="","",XLOOKUP(A105,Team!A:A,Team!B:B))</f>
      </c>
    </row>
    <row r="106">
      <c r="A106" t="str">
        <v/>
      </c>
      <c r="B106">
        <f>IF(A106="","",XLOOKUP(A106,Team!A:A,Team!D:D))</f>
      </c>
      <c r="C106">
        <f>IF(A106="","",XLOOKUP(A106,Team!A:A,Team!F:F))</f>
      </c>
      <c r="D106">
        <f>IF(A106="","",IFERROR(SUMIFS(Weekly_Log!E:E,Weekly_Log!A:A,$B$1,Weekly_Log!B:B,$I106),0))</f>
      </c>
      <c r="E106">
        <f>IF(A106="","",IFERROR(SUMIFS(Weekly_Log!F:F,Weekly_Log!A:A,$B$1,Weekly_Log!B:B,$I106),0))</f>
      </c>
      <c r="F106">
        <f>IF(A106="","",D106+E106)</f>
      </c>
      <c r="G106">
        <f>IF(A106="","",IF(F106&gt;=C106,"On Track",IF(F106=0,"No Output","Behind")))</f>
      </c>
      <c r="H106">
        <f>IF(A106="","",HYPERLINK(XLOOKUP(A106,Team!A:A,Team!C:C),"Open Feather"))</f>
      </c>
      <c r="I106">
        <f>IF(A106="","",XLOOKUP(A106,Team!A:A,Team!B:B))</f>
      </c>
    </row>
    <row r="107">
      <c r="A107" t="str">
        <v/>
      </c>
      <c r="B107">
        <f>IF(A107="","",XLOOKUP(A107,Team!A:A,Team!D:D))</f>
      </c>
      <c r="C107">
        <f>IF(A107="","",XLOOKUP(A107,Team!A:A,Team!F:F))</f>
      </c>
      <c r="D107">
        <f>IF(A107="","",IFERROR(SUMIFS(Weekly_Log!E:E,Weekly_Log!A:A,$B$1,Weekly_Log!B:B,$I107),0))</f>
      </c>
      <c r="E107">
        <f>IF(A107="","",IFERROR(SUMIFS(Weekly_Log!F:F,Weekly_Log!A:A,$B$1,Weekly_Log!B:B,$I107),0))</f>
      </c>
      <c r="F107">
        <f>IF(A107="","",D107+E107)</f>
      </c>
      <c r="G107">
        <f>IF(A107="","",IF(F107&gt;=C107,"On Track",IF(F107=0,"No Output","Behind")))</f>
      </c>
      <c r="H107">
        <f>IF(A107="","",HYPERLINK(XLOOKUP(A107,Team!A:A,Team!C:C),"Open Feather"))</f>
      </c>
      <c r="I107">
        <f>IF(A107="","",XLOOKUP(A107,Team!A:A,Team!B:B))</f>
      </c>
    </row>
    <row r="108">
      <c r="A108" t="str">
        <v/>
      </c>
      <c r="B108">
        <f>IF(A108="","",XLOOKUP(A108,Team!A:A,Team!D:D))</f>
      </c>
      <c r="C108">
        <f>IF(A108="","",XLOOKUP(A108,Team!A:A,Team!F:F))</f>
      </c>
      <c r="D108">
        <f>IF(A108="","",IFERROR(SUMIFS(Weekly_Log!E:E,Weekly_Log!A:A,$B$1,Weekly_Log!B:B,$I108),0))</f>
      </c>
      <c r="E108">
        <f>IF(A108="","",IFERROR(SUMIFS(Weekly_Log!F:F,Weekly_Log!A:A,$B$1,Weekly_Log!B:B,$I108),0))</f>
      </c>
      <c r="F108">
        <f>IF(A108="","",D108+E108)</f>
      </c>
      <c r="G108">
        <f>IF(A108="","",IF(F108&gt;=C108,"On Track",IF(F108=0,"No Output","Behind")))</f>
      </c>
      <c r="H108">
        <f>IF(A108="","",HYPERLINK(XLOOKUP(A108,Team!A:A,Team!C:C),"Open Feather"))</f>
      </c>
      <c r="I108">
        <f>IF(A108="","",XLOOKUP(A108,Team!A:A,Team!B:B))</f>
      </c>
    </row>
    <row r="109">
      <c r="A109" t="str">
        <v/>
      </c>
      <c r="B109">
        <f>IF(A109="","",XLOOKUP(A109,Team!A:A,Team!D:D))</f>
      </c>
      <c r="C109">
        <f>IF(A109="","",XLOOKUP(A109,Team!A:A,Team!F:F))</f>
      </c>
      <c r="D109">
        <f>IF(A109="","",IFERROR(SUMIFS(Weekly_Log!E:E,Weekly_Log!A:A,$B$1,Weekly_Log!B:B,$I109),0))</f>
      </c>
      <c r="E109">
        <f>IF(A109="","",IFERROR(SUMIFS(Weekly_Log!F:F,Weekly_Log!A:A,$B$1,Weekly_Log!B:B,$I109),0))</f>
      </c>
      <c r="F109">
        <f>IF(A109="","",D109+E109)</f>
      </c>
      <c r="G109">
        <f>IF(A109="","",IF(F109&gt;=C109,"On Track",IF(F109=0,"No Output","Behind")))</f>
      </c>
      <c r="H109">
        <f>IF(A109="","",HYPERLINK(XLOOKUP(A109,Team!A:A,Team!C:C),"Open Feather"))</f>
      </c>
      <c r="I109">
        <f>IF(A109="","",XLOOKUP(A109,Team!A:A,Team!B:B))</f>
      </c>
    </row>
    <row r="110">
      <c r="A110" t="str">
        <v/>
      </c>
      <c r="B110">
        <f>IF(A110="","",XLOOKUP(A110,Team!A:A,Team!D:D))</f>
      </c>
      <c r="C110">
        <f>IF(A110="","",XLOOKUP(A110,Team!A:A,Team!F:F))</f>
      </c>
      <c r="D110">
        <f>IF(A110="","",IFERROR(SUMIFS(Weekly_Log!E:E,Weekly_Log!A:A,$B$1,Weekly_Log!B:B,$I110),0))</f>
      </c>
      <c r="E110">
        <f>IF(A110="","",IFERROR(SUMIFS(Weekly_Log!F:F,Weekly_Log!A:A,$B$1,Weekly_Log!B:B,$I110),0))</f>
      </c>
      <c r="F110">
        <f>IF(A110="","",D110+E110)</f>
      </c>
      <c r="G110">
        <f>IF(A110="","",IF(F110&gt;=C110,"On Track",IF(F110=0,"No Output","Behind")))</f>
      </c>
      <c r="H110">
        <f>IF(A110="","",HYPERLINK(XLOOKUP(A110,Team!A:A,Team!C:C),"Open Feather"))</f>
      </c>
      <c r="I110">
        <f>IF(A110="","",XLOOKUP(A110,Team!A:A,Team!B:B))</f>
      </c>
    </row>
    <row r="111">
      <c r="A111" t="str">
        <v/>
      </c>
      <c r="B111">
        <f>IF(A111="","",XLOOKUP(A111,Team!A:A,Team!D:D))</f>
      </c>
      <c r="C111">
        <f>IF(A111="","",XLOOKUP(A111,Team!A:A,Team!F:F))</f>
      </c>
      <c r="D111">
        <f>IF(A111="","",IFERROR(SUMIFS(Weekly_Log!E:E,Weekly_Log!A:A,$B$1,Weekly_Log!B:B,$I111),0))</f>
      </c>
      <c r="E111">
        <f>IF(A111="","",IFERROR(SUMIFS(Weekly_Log!F:F,Weekly_Log!A:A,$B$1,Weekly_Log!B:B,$I111),0))</f>
      </c>
      <c r="F111">
        <f>IF(A111="","",D111+E111)</f>
      </c>
      <c r="G111">
        <f>IF(A111="","",IF(F111&gt;=C111,"On Track",IF(F111=0,"No Output","Behind")))</f>
      </c>
      <c r="H111">
        <f>IF(A111="","",HYPERLINK(XLOOKUP(A111,Team!A:A,Team!C:C),"Open Feather"))</f>
      </c>
      <c r="I111">
        <f>IF(A111="","",XLOOKUP(A111,Team!A:A,Team!B:B))</f>
      </c>
    </row>
    <row r="112">
      <c r="A112" t="str">
        <v/>
      </c>
      <c r="B112">
        <f>IF(A112="","",XLOOKUP(A112,Team!A:A,Team!D:D))</f>
      </c>
      <c r="C112">
        <f>IF(A112="","",XLOOKUP(A112,Team!A:A,Team!F:F))</f>
      </c>
      <c r="D112">
        <f>IF(A112="","",IFERROR(SUMIFS(Weekly_Log!E:E,Weekly_Log!A:A,$B$1,Weekly_Log!B:B,$I112),0))</f>
      </c>
      <c r="E112">
        <f>IF(A112="","",IFERROR(SUMIFS(Weekly_Log!F:F,Weekly_Log!A:A,$B$1,Weekly_Log!B:B,$I112),0))</f>
      </c>
      <c r="F112">
        <f>IF(A112="","",D112+E112)</f>
      </c>
      <c r="G112">
        <f>IF(A112="","",IF(F112&gt;=C112,"On Track",IF(F112=0,"No Output","Behind")))</f>
      </c>
      <c r="H112">
        <f>IF(A112="","",HYPERLINK(XLOOKUP(A112,Team!A:A,Team!C:C),"Open Feather"))</f>
      </c>
      <c r="I112">
        <f>IF(A112="","",XLOOKUP(A112,Team!A:A,Team!B:B))</f>
      </c>
    </row>
    <row r="113">
      <c r="A113" t="str">
        <v/>
      </c>
      <c r="B113">
        <f>IF(A113="","",XLOOKUP(A113,Team!A:A,Team!D:D))</f>
      </c>
      <c r="C113">
        <f>IF(A113="","",XLOOKUP(A113,Team!A:A,Team!F:F))</f>
      </c>
      <c r="D113">
        <f>IF(A113="","",IFERROR(SUMIFS(Weekly_Log!E:E,Weekly_Log!A:A,$B$1,Weekly_Log!B:B,$I113),0))</f>
      </c>
      <c r="E113">
        <f>IF(A113="","",IFERROR(SUMIFS(Weekly_Log!F:F,Weekly_Log!A:A,$B$1,Weekly_Log!B:B,$I113),0))</f>
      </c>
      <c r="F113">
        <f>IF(A113="","",D113+E113)</f>
      </c>
      <c r="G113">
        <f>IF(A113="","",IF(F113&gt;=C113,"On Track",IF(F113=0,"No Output","Behind")))</f>
      </c>
      <c r="H113">
        <f>IF(A113="","",HYPERLINK(XLOOKUP(A113,Team!A:A,Team!C:C),"Open Feather"))</f>
      </c>
      <c r="I113">
        <f>IF(A113="","",XLOOKUP(A113,Team!A:A,Team!B:B))</f>
      </c>
    </row>
    <row r="114">
      <c r="A114" t="str">
        <v/>
      </c>
      <c r="B114">
        <f>IF(A114="","",XLOOKUP(A114,Team!A:A,Team!D:D))</f>
      </c>
      <c r="C114">
        <f>IF(A114="","",XLOOKUP(A114,Team!A:A,Team!F:F))</f>
      </c>
      <c r="D114">
        <f>IF(A114="","",IFERROR(SUMIFS(Weekly_Log!E:E,Weekly_Log!A:A,$B$1,Weekly_Log!B:B,$I114),0))</f>
      </c>
      <c r="E114">
        <f>IF(A114="","",IFERROR(SUMIFS(Weekly_Log!F:F,Weekly_Log!A:A,$B$1,Weekly_Log!B:B,$I114),0))</f>
      </c>
      <c r="F114">
        <f>IF(A114="","",D114+E114)</f>
      </c>
      <c r="G114">
        <f>IF(A114="","",IF(F114&gt;=C114,"On Track",IF(F114=0,"No Output","Behind")))</f>
      </c>
      <c r="H114">
        <f>IF(A114="","",HYPERLINK(XLOOKUP(A114,Team!A:A,Team!C:C),"Open Feather"))</f>
      </c>
      <c r="I114">
        <f>IF(A114="","",XLOOKUP(A114,Team!A:A,Team!B:B))</f>
      </c>
    </row>
    <row r="115">
      <c r="A115" t="str">
        <v/>
      </c>
      <c r="B115">
        <f>IF(A115="","",XLOOKUP(A115,Team!A:A,Team!D:D))</f>
      </c>
      <c r="C115">
        <f>IF(A115="","",XLOOKUP(A115,Team!A:A,Team!F:F))</f>
      </c>
      <c r="D115">
        <f>IF(A115="","",IFERROR(SUMIFS(Weekly_Log!E:E,Weekly_Log!A:A,$B$1,Weekly_Log!B:B,$I115),0))</f>
      </c>
      <c r="E115">
        <f>IF(A115="","",IFERROR(SUMIFS(Weekly_Log!F:F,Weekly_Log!A:A,$B$1,Weekly_Log!B:B,$I115),0))</f>
      </c>
      <c r="F115">
        <f>IF(A115="","",D115+E115)</f>
      </c>
      <c r="G115">
        <f>IF(A115="","",IF(F115&gt;=C115,"On Track",IF(F115=0,"No Output","Behind")))</f>
      </c>
      <c r="H115">
        <f>IF(A115="","",HYPERLINK(XLOOKUP(A115,Team!A:A,Team!C:C),"Open Feather"))</f>
      </c>
      <c r="I115">
        <f>IF(A115="","",XLOOKUP(A115,Team!A:A,Team!B:B))</f>
      </c>
    </row>
    <row r="116">
      <c r="A116" t="str">
        <v/>
      </c>
      <c r="B116">
        <f>IF(A116="","",XLOOKUP(A116,Team!A:A,Team!D:D))</f>
      </c>
      <c r="C116">
        <f>IF(A116="","",XLOOKUP(A116,Team!A:A,Team!F:F))</f>
      </c>
      <c r="D116">
        <f>IF(A116="","",IFERROR(SUMIFS(Weekly_Log!E:E,Weekly_Log!A:A,$B$1,Weekly_Log!B:B,$I116),0))</f>
      </c>
      <c r="E116">
        <f>IF(A116="","",IFERROR(SUMIFS(Weekly_Log!F:F,Weekly_Log!A:A,$B$1,Weekly_Log!B:B,$I116),0))</f>
      </c>
      <c r="F116">
        <f>IF(A116="","",D116+E116)</f>
      </c>
      <c r="G116">
        <f>IF(A116="","",IF(F116&gt;=C116,"On Track",IF(F116=0,"No Output","Behind")))</f>
      </c>
      <c r="H116">
        <f>IF(A116="","",HYPERLINK(XLOOKUP(A116,Team!A:A,Team!C:C),"Open Feather"))</f>
      </c>
      <c r="I116">
        <f>IF(A116="","",XLOOKUP(A116,Team!A:A,Team!B:B))</f>
      </c>
    </row>
    <row r="117">
      <c r="A117" t="str">
        <v/>
      </c>
      <c r="B117">
        <f>IF(A117="","",XLOOKUP(A117,Team!A:A,Team!D:D))</f>
      </c>
      <c r="C117">
        <f>IF(A117="","",XLOOKUP(A117,Team!A:A,Team!F:F))</f>
      </c>
      <c r="D117">
        <f>IF(A117="","",IFERROR(SUMIFS(Weekly_Log!E:E,Weekly_Log!A:A,$B$1,Weekly_Log!B:B,$I117),0))</f>
      </c>
      <c r="E117">
        <f>IF(A117="","",IFERROR(SUMIFS(Weekly_Log!F:F,Weekly_Log!A:A,$B$1,Weekly_Log!B:B,$I117),0))</f>
      </c>
      <c r="F117">
        <f>IF(A117="","",D117+E117)</f>
      </c>
      <c r="G117">
        <f>IF(A117="","",IF(F117&gt;=C117,"On Track",IF(F117=0,"No Output","Behind")))</f>
      </c>
      <c r="H117">
        <f>IF(A117="","",HYPERLINK(XLOOKUP(A117,Team!A:A,Team!C:C),"Open Feather"))</f>
      </c>
      <c r="I117">
        <f>IF(A117="","",XLOOKUP(A117,Team!A:A,Team!B:B))</f>
      </c>
    </row>
    <row r="118">
      <c r="A118" t="str">
        <v/>
      </c>
      <c r="B118">
        <f>IF(A118="","",XLOOKUP(A118,Team!A:A,Team!D:D))</f>
      </c>
      <c r="C118">
        <f>IF(A118="","",XLOOKUP(A118,Team!A:A,Team!F:F))</f>
      </c>
      <c r="D118">
        <f>IF(A118="","",IFERROR(SUMIFS(Weekly_Log!E:E,Weekly_Log!A:A,$B$1,Weekly_Log!B:B,$I118),0))</f>
      </c>
      <c r="E118">
        <f>IF(A118="","",IFERROR(SUMIFS(Weekly_Log!F:F,Weekly_Log!A:A,$B$1,Weekly_Log!B:B,$I118),0))</f>
      </c>
      <c r="F118">
        <f>IF(A118="","",D118+E118)</f>
      </c>
      <c r="G118">
        <f>IF(A118="","",IF(F118&gt;=C118,"On Track",IF(F118=0,"No Output","Behind")))</f>
      </c>
      <c r="H118">
        <f>IF(A118="","",HYPERLINK(XLOOKUP(A118,Team!A:A,Team!C:C),"Open Feather"))</f>
      </c>
      <c r="I118">
        <f>IF(A118="","",XLOOKUP(A118,Team!A:A,Team!B:B))</f>
      </c>
    </row>
    <row r="119">
      <c r="A119" t="str">
        <v/>
      </c>
      <c r="B119">
        <f>IF(A119="","",XLOOKUP(A119,Team!A:A,Team!D:D))</f>
      </c>
      <c r="C119">
        <f>IF(A119="","",XLOOKUP(A119,Team!A:A,Team!F:F))</f>
      </c>
      <c r="D119">
        <f>IF(A119="","",IFERROR(SUMIFS(Weekly_Log!E:E,Weekly_Log!A:A,$B$1,Weekly_Log!B:B,$I119),0))</f>
      </c>
      <c r="E119">
        <f>IF(A119="","",IFERROR(SUMIFS(Weekly_Log!F:F,Weekly_Log!A:A,$B$1,Weekly_Log!B:B,$I119),0))</f>
      </c>
      <c r="F119">
        <f>IF(A119="","",D119+E119)</f>
      </c>
      <c r="G119">
        <f>IF(A119="","",IF(F119&gt;=C119,"On Track",IF(F119=0,"No Output","Behind")))</f>
      </c>
      <c r="H119">
        <f>IF(A119="","",HYPERLINK(XLOOKUP(A119,Team!A:A,Team!C:C),"Open Feather"))</f>
      </c>
      <c r="I119">
        <f>IF(A119="","",XLOOKUP(A119,Team!A:A,Team!B:B))</f>
      </c>
    </row>
    <row r="120">
      <c r="A120" t="str">
        <v/>
      </c>
      <c r="B120">
        <f>IF(A120="","",XLOOKUP(A120,Team!A:A,Team!D:D))</f>
      </c>
      <c r="C120">
        <f>IF(A120="","",XLOOKUP(A120,Team!A:A,Team!F:F))</f>
      </c>
      <c r="D120">
        <f>IF(A120="","",IFERROR(SUMIFS(Weekly_Log!E:E,Weekly_Log!A:A,$B$1,Weekly_Log!B:B,$I120),0))</f>
      </c>
      <c r="E120">
        <f>IF(A120="","",IFERROR(SUMIFS(Weekly_Log!F:F,Weekly_Log!A:A,$B$1,Weekly_Log!B:B,$I120),0))</f>
      </c>
      <c r="F120">
        <f>IF(A120="","",D120+E120)</f>
      </c>
      <c r="G120">
        <f>IF(A120="","",IF(F120&gt;=C120,"On Track",IF(F120=0,"No Output","Behind")))</f>
      </c>
      <c r="H120">
        <f>IF(A120="","",HYPERLINK(XLOOKUP(A120,Team!A:A,Team!C:C),"Open Feather"))</f>
      </c>
      <c r="I120">
        <f>IF(A120="","",XLOOKUP(A120,Team!A:A,Team!B:B))</f>
      </c>
    </row>
    <row r="121">
      <c r="A121" t="str">
        <v/>
      </c>
      <c r="B121">
        <f>IF(A121="","",XLOOKUP(A121,Team!A:A,Team!D:D))</f>
      </c>
      <c r="C121">
        <f>IF(A121="","",XLOOKUP(A121,Team!A:A,Team!F:F))</f>
      </c>
      <c r="D121">
        <f>IF(A121="","",IFERROR(SUMIFS(Weekly_Log!E:E,Weekly_Log!A:A,$B$1,Weekly_Log!B:B,$I121),0))</f>
      </c>
      <c r="E121">
        <f>IF(A121="","",IFERROR(SUMIFS(Weekly_Log!F:F,Weekly_Log!A:A,$B$1,Weekly_Log!B:B,$I121),0))</f>
      </c>
      <c r="F121">
        <f>IF(A121="","",D121+E121)</f>
      </c>
      <c r="G121">
        <f>IF(A121="","",IF(F121&gt;=C121,"On Track",IF(F121=0,"No Output","Behind")))</f>
      </c>
      <c r="H121">
        <f>IF(A121="","",HYPERLINK(XLOOKUP(A121,Team!A:A,Team!C:C),"Open Feather"))</f>
      </c>
      <c r="I121">
        <f>IF(A121="","",XLOOKUP(A121,Team!A:A,Team!B:B))</f>
      </c>
    </row>
    <row r="122">
      <c r="A122" t="str">
        <v/>
      </c>
      <c r="B122">
        <f>IF(A122="","",XLOOKUP(A122,Team!A:A,Team!D:D))</f>
      </c>
      <c r="C122">
        <f>IF(A122="","",XLOOKUP(A122,Team!A:A,Team!F:F))</f>
      </c>
      <c r="D122">
        <f>IF(A122="","",IFERROR(SUMIFS(Weekly_Log!E:E,Weekly_Log!A:A,$B$1,Weekly_Log!B:B,$I122),0))</f>
      </c>
      <c r="E122">
        <f>IF(A122="","",IFERROR(SUMIFS(Weekly_Log!F:F,Weekly_Log!A:A,$B$1,Weekly_Log!B:B,$I122),0))</f>
      </c>
      <c r="F122">
        <f>IF(A122="","",D122+E122)</f>
      </c>
      <c r="G122">
        <f>IF(A122="","",IF(F122&gt;=C122,"On Track",IF(F122=0,"No Output","Behind")))</f>
      </c>
      <c r="H122">
        <f>IF(A122="","",HYPERLINK(XLOOKUP(A122,Team!A:A,Team!C:C),"Open Feather"))</f>
      </c>
      <c r="I122">
        <f>IF(A122="","",XLOOKUP(A122,Team!A:A,Team!B:B))</f>
      </c>
    </row>
    <row r="123">
      <c r="A123" t="str">
        <v/>
      </c>
      <c r="B123">
        <f>IF(A123="","",XLOOKUP(A123,Team!A:A,Team!D:D))</f>
      </c>
      <c r="C123">
        <f>IF(A123="","",XLOOKUP(A123,Team!A:A,Team!F:F))</f>
      </c>
      <c r="D123">
        <f>IF(A123="","",IFERROR(SUMIFS(Weekly_Log!E:E,Weekly_Log!A:A,$B$1,Weekly_Log!B:B,$I123),0))</f>
      </c>
      <c r="E123">
        <f>IF(A123="","",IFERROR(SUMIFS(Weekly_Log!F:F,Weekly_Log!A:A,$B$1,Weekly_Log!B:B,$I123),0))</f>
      </c>
      <c r="F123">
        <f>IF(A123="","",D123+E123)</f>
      </c>
      <c r="G123">
        <f>IF(A123="","",IF(F123&gt;=C123,"On Track",IF(F123=0,"No Output","Behind")))</f>
      </c>
      <c r="H123">
        <f>IF(A123="","",HYPERLINK(XLOOKUP(A123,Team!A:A,Team!C:C),"Open Feather"))</f>
      </c>
      <c r="I123">
        <f>IF(A123="","",XLOOKUP(A123,Team!A:A,Team!B:B))</f>
      </c>
    </row>
    <row r="124">
      <c r="A124" t="str">
        <v/>
      </c>
      <c r="B124">
        <f>IF(A124="","",XLOOKUP(A124,Team!A:A,Team!D:D))</f>
      </c>
      <c r="C124">
        <f>IF(A124="","",XLOOKUP(A124,Team!A:A,Team!F:F))</f>
      </c>
      <c r="D124">
        <f>IF(A124="","",IFERROR(SUMIFS(Weekly_Log!E:E,Weekly_Log!A:A,$B$1,Weekly_Log!B:B,$I124),0))</f>
      </c>
      <c r="E124">
        <f>IF(A124="","",IFERROR(SUMIFS(Weekly_Log!F:F,Weekly_Log!A:A,$B$1,Weekly_Log!B:B,$I124),0))</f>
      </c>
      <c r="F124">
        <f>IF(A124="","",D124+E124)</f>
      </c>
      <c r="G124">
        <f>IF(A124="","",IF(F124&gt;=C124,"On Track",IF(F124=0,"No Output","Behind")))</f>
      </c>
      <c r="H124">
        <f>IF(A124="","",HYPERLINK(XLOOKUP(A124,Team!A:A,Team!C:C),"Open Feather"))</f>
      </c>
      <c r="I124">
        <f>IF(A124="","",XLOOKUP(A124,Team!A:A,Team!B:B))</f>
      </c>
    </row>
    <row r="125">
      <c r="A125" t="str">
        <v/>
      </c>
      <c r="B125">
        <f>IF(A125="","",XLOOKUP(A125,Team!A:A,Team!D:D))</f>
      </c>
      <c r="C125">
        <f>IF(A125="","",XLOOKUP(A125,Team!A:A,Team!F:F))</f>
      </c>
      <c r="D125">
        <f>IF(A125="","",IFERROR(SUMIFS(Weekly_Log!E:E,Weekly_Log!A:A,$B$1,Weekly_Log!B:B,$I125),0))</f>
      </c>
      <c r="E125">
        <f>IF(A125="","",IFERROR(SUMIFS(Weekly_Log!F:F,Weekly_Log!A:A,$B$1,Weekly_Log!B:B,$I125),0))</f>
      </c>
      <c r="F125">
        <f>IF(A125="","",D125+E125)</f>
      </c>
      <c r="G125">
        <f>IF(A125="","",IF(F125&gt;=C125,"On Track",IF(F125=0,"No Output","Behind")))</f>
      </c>
      <c r="H125">
        <f>IF(A125="","",HYPERLINK(XLOOKUP(A125,Team!A:A,Team!C:C),"Open Feather"))</f>
      </c>
      <c r="I125">
        <f>IF(A125="","",XLOOKUP(A125,Team!A:A,Team!B:B))</f>
      </c>
    </row>
    <row r="126">
      <c r="A126" t="str">
        <v/>
      </c>
      <c r="B126">
        <f>IF(A126="","",XLOOKUP(A126,Team!A:A,Team!D:D))</f>
      </c>
      <c r="C126">
        <f>IF(A126="","",XLOOKUP(A126,Team!A:A,Team!F:F))</f>
      </c>
      <c r="D126">
        <f>IF(A126="","",IFERROR(SUMIFS(Weekly_Log!E:E,Weekly_Log!A:A,$B$1,Weekly_Log!B:B,$I126),0))</f>
      </c>
      <c r="E126">
        <f>IF(A126="","",IFERROR(SUMIFS(Weekly_Log!F:F,Weekly_Log!A:A,$B$1,Weekly_Log!B:B,$I126),0))</f>
      </c>
      <c r="F126">
        <f>IF(A126="","",D126+E126)</f>
      </c>
      <c r="G126">
        <f>IF(A126="","",IF(F126&gt;=C126,"On Track",IF(F126=0,"No Output","Behind")))</f>
      </c>
      <c r="H126">
        <f>IF(A126="","",HYPERLINK(XLOOKUP(A126,Team!A:A,Team!C:C),"Open Feather"))</f>
      </c>
      <c r="I126">
        <f>IF(A126="","",XLOOKUP(A126,Team!A:A,Team!B:B))</f>
      </c>
    </row>
    <row r="127">
      <c r="A127" t="str">
        <v/>
      </c>
      <c r="B127">
        <f>IF(A127="","",XLOOKUP(A127,Team!A:A,Team!D:D))</f>
      </c>
      <c r="C127">
        <f>IF(A127="","",XLOOKUP(A127,Team!A:A,Team!F:F))</f>
      </c>
      <c r="D127">
        <f>IF(A127="","",IFERROR(SUMIFS(Weekly_Log!E:E,Weekly_Log!A:A,$B$1,Weekly_Log!B:B,$I127),0))</f>
      </c>
      <c r="E127">
        <f>IF(A127="","",IFERROR(SUMIFS(Weekly_Log!F:F,Weekly_Log!A:A,$B$1,Weekly_Log!B:B,$I127),0))</f>
      </c>
      <c r="F127">
        <f>IF(A127="","",D127+E127)</f>
      </c>
      <c r="G127">
        <f>IF(A127="","",IF(F127&gt;=C127,"On Track",IF(F127=0,"No Output","Behind")))</f>
      </c>
      <c r="H127">
        <f>IF(A127="","",HYPERLINK(XLOOKUP(A127,Team!A:A,Team!C:C),"Open Feather"))</f>
      </c>
      <c r="I127">
        <f>IF(A127="","",XLOOKUP(A127,Team!A:A,Team!B:B))</f>
      </c>
    </row>
    <row r="128">
      <c r="A128" t="str">
        <v/>
      </c>
      <c r="B128">
        <f>IF(A128="","",XLOOKUP(A128,Team!A:A,Team!D:D))</f>
      </c>
      <c r="C128">
        <f>IF(A128="","",XLOOKUP(A128,Team!A:A,Team!F:F))</f>
      </c>
      <c r="D128">
        <f>IF(A128="","",IFERROR(SUMIFS(Weekly_Log!E:E,Weekly_Log!A:A,$B$1,Weekly_Log!B:B,$I128),0))</f>
      </c>
      <c r="E128">
        <f>IF(A128="","",IFERROR(SUMIFS(Weekly_Log!F:F,Weekly_Log!A:A,$B$1,Weekly_Log!B:B,$I128),0))</f>
      </c>
      <c r="F128">
        <f>IF(A128="","",D128+E128)</f>
      </c>
      <c r="G128">
        <f>IF(A128="","",IF(F128&gt;=C128,"On Track",IF(F128=0,"No Output","Behind")))</f>
      </c>
      <c r="H128">
        <f>IF(A128="","",HYPERLINK(XLOOKUP(A128,Team!A:A,Team!C:C),"Open Feather"))</f>
      </c>
      <c r="I128">
        <f>IF(A128="","",XLOOKUP(A128,Team!A:A,Team!B:B))</f>
      </c>
    </row>
    <row r="129">
      <c r="A129" t="str">
        <v/>
      </c>
      <c r="B129">
        <f>IF(A129="","",XLOOKUP(A129,Team!A:A,Team!D:D))</f>
      </c>
      <c r="C129">
        <f>IF(A129="","",XLOOKUP(A129,Team!A:A,Team!F:F))</f>
      </c>
      <c r="D129">
        <f>IF(A129="","",IFERROR(SUMIFS(Weekly_Log!E:E,Weekly_Log!A:A,$B$1,Weekly_Log!B:B,$I129),0))</f>
      </c>
      <c r="E129">
        <f>IF(A129="","",IFERROR(SUMIFS(Weekly_Log!F:F,Weekly_Log!A:A,$B$1,Weekly_Log!B:B,$I129),0))</f>
      </c>
      <c r="F129">
        <f>IF(A129="","",D129+E129)</f>
      </c>
      <c r="G129">
        <f>IF(A129="","",IF(F129&gt;=C129,"On Track",IF(F129=0,"No Output","Behind")))</f>
      </c>
      <c r="H129">
        <f>IF(A129="","",HYPERLINK(XLOOKUP(A129,Team!A:A,Team!C:C),"Open Feather"))</f>
      </c>
      <c r="I129">
        <f>IF(A129="","",XLOOKUP(A129,Team!A:A,Team!B:B))</f>
      </c>
    </row>
    <row r="130">
      <c r="A130" t="str">
        <v/>
      </c>
      <c r="B130">
        <f>IF(A130="","",XLOOKUP(A130,Team!A:A,Team!D:D))</f>
      </c>
      <c r="C130">
        <f>IF(A130="","",XLOOKUP(A130,Team!A:A,Team!F:F))</f>
      </c>
      <c r="D130">
        <f>IF(A130="","",IFERROR(SUMIFS(Weekly_Log!E:E,Weekly_Log!A:A,$B$1,Weekly_Log!B:B,$I130),0))</f>
      </c>
      <c r="E130">
        <f>IF(A130="","",IFERROR(SUMIFS(Weekly_Log!F:F,Weekly_Log!A:A,$B$1,Weekly_Log!B:B,$I130),0))</f>
      </c>
      <c r="F130">
        <f>IF(A130="","",D130+E130)</f>
      </c>
      <c r="G130">
        <f>IF(A130="","",IF(F130&gt;=C130,"On Track",IF(F130=0,"No Output","Behind")))</f>
      </c>
      <c r="H130">
        <f>IF(A130="","",HYPERLINK(XLOOKUP(A130,Team!A:A,Team!C:C),"Open Feather"))</f>
      </c>
      <c r="I130">
        <f>IF(A130="","",XLOOKUP(A130,Team!A:A,Team!B:B))</f>
      </c>
    </row>
    <row r="131">
      <c r="A131" t="str">
        <v/>
      </c>
      <c r="B131">
        <f>IF(A131="","",XLOOKUP(A131,Team!A:A,Team!D:D))</f>
      </c>
      <c r="C131">
        <f>IF(A131="","",XLOOKUP(A131,Team!A:A,Team!F:F))</f>
      </c>
      <c r="D131">
        <f>IF(A131="","",IFERROR(SUMIFS(Weekly_Log!E:E,Weekly_Log!A:A,$B$1,Weekly_Log!B:B,$I131),0))</f>
      </c>
      <c r="E131">
        <f>IF(A131="","",IFERROR(SUMIFS(Weekly_Log!F:F,Weekly_Log!A:A,$B$1,Weekly_Log!B:B,$I131),0))</f>
      </c>
      <c r="F131">
        <f>IF(A131="","",D131+E131)</f>
      </c>
      <c r="G131">
        <f>IF(A131="","",IF(F131&gt;=C131,"On Track",IF(F131=0,"No Output","Behind")))</f>
      </c>
      <c r="H131">
        <f>IF(A131="","",HYPERLINK(XLOOKUP(A131,Team!A:A,Team!C:C),"Open Feather"))</f>
      </c>
      <c r="I131">
        <f>IF(A131="","",XLOOKUP(A131,Team!A:A,Team!B:B))</f>
      </c>
    </row>
    <row r="132">
      <c r="A132" t="str">
        <v/>
      </c>
      <c r="B132">
        <f>IF(A132="","",XLOOKUP(A132,Team!A:A,Team!D:D))</f>
      </c>
      <c r="C132">
        <f>IF(A132="","",XLOOKUP(A132,Team!A:A,Team!F:F))</f>
      </c>
      <c r="D132">
        <f>IF(A132="","",IFERROR(SUMIFS(Weekly_Log!E:E,Weekly_Log!A:A,$B$1,Weekly_Log!B:B,$I132),0))</f>
      </c>
      <c r="E132">
        <f>IF(A132="","",IFERROR(SUMIFS(Weekly_Log!F:F,Weekly_Log!A:A,$B$1,Weekly_Log!B:B,$I132),0))</f>
      </c>
      <c r="F132">
        <f>IF(A132="","",D132+E132)</f>
      </c>
      <c r="G132">
        <f>IF(A132="","",IF(F132&gt;=C132,"On Track",IF(F132=0,"No Output","Behind")))</f>
      </c>
      <c r="H132">
        <f>IF(A132="","",HYPERLINK(XLOOKUP(A132,Team!A:A,Team!C:C),"Open Feather"))</f>
      </c>
      <c r="I132">
        <f>IF(A132="","",XLOOKUP(A132,Team!A:A,Team!B:B))</f>
      </c>
    </row>
    <row r="133">
      <c r="A133" t="str">
        <v/>
      </c>
      <c r="B133">
        <f>IF(A133="","",XLOOKUP(A133,Team!A:A,Team!D:D))</f>
      </c>
      <c r="C133">
        <f>IF(A133="","",XLOOKUP(A133,Team!A:A,Team!F:F))</f>
      </c>
      <c r="D133">
        <f>IF(A133="","",IFERROR(SUMIFS(Weekly_Log!E:E,Weekly_Log!A:A,$B$1,Weekly_Log!B:B,$I133),0))</f>
      </c>
      <c r="E133">
        <f>IF(A133="","",IFERROR(SUMIFS(Weekly_Log!F:F,Weekly_Log!A:A,$B$1,Weekly_Log!B:B,$I133),0))</f>
      </c>
      <c r="F133">
        <f>IF(A133="","",D133+E133)</f>
      </c>
      <c r="G133">
        <f>IF(A133="","",IF(F133&gt;=C133,"On Track",IF(F133=0,"No Output","Behind")))</f>
      </c>
      <c r="H133">
        <f>IF(A133="","",HYPERLINK(XLOOKUP(A133,Team!A:A,Team!C:C),"Open Feather"))</f>
      </c>
      <c r="I133">
        <f>IF(A133="","",XLOOKUP(A133,Team!A:A,Team!B:B))</f>
      </c>
    </row>
    <row r="134">
      <c r="A134" t="str">
        <v/>
      </c>
      <c r="B134">
        <f>IF(A134="","",XLOOKUP(A134,Team!A:A,Team!D:D))</f>
      </c>
      <c r="C134">
        <f>IF(A134="","",XLOOKUP(A134,Team!A:A,Team!F:F))</f>
      </c>
      <c r="D134">
        <f>IF(A134="","",IFERROR(SUMIFS(Weekly_Log!E:E,Weekly_Log!A:A,$B$1,Weekly_Log!B:B,$I134),0))</f>
      </c>
      <c r="E134">
        <f>IF(A134="","",IFERROR(SUMIFS(Weekly_Log!F:F,Weekly_Log!A:A,$B$1,Weekly_Log!B:B,$I134),0))</f>
      </c>
      <c r="F134">
        <f>IF(A134="","",D134+E134)</f>
      </c>
      <c r="G134">
        <f>IF(A134="","",IF(F134&gt;=C134,"On Track",IF(F134=0,"No Output","Behind")))</f>
      </c>
      <c r="H134">
        <f>IF(A134="","",HYPERLINK(XLOOKUP(A134,Team!A:A,Team!C:C),"Open Feather"))</f>
      </c>
      <c r="I134">
        <f>IF(A134="","",XLOOKUP(A134,Team!A:A,Team!B:B))</f>
      </c>
    </row>
    <row r="135">
      <c r="A135" t="str">
        <v/>
      </c>
      <c r="B135">
        <f>IF(A135="","",XLOOKUP(A135,Team!A:A,Team!D:D))</f>
      </c>
      <c r="C135">
        <f>IF(A135="","",XLOOKUP(A135,Team!A:A,Team!F:F))</f>
      </c>
      <c r="D135">
        <f>IF(A135="","",IFERROR(SUMIFS(Weekly_Log!E:E,Weekly_Log!A:A,$B$1,Weekly_Log!B:B,$I135),0))</f>
      </c>
      <c r="E135">
        <f>IF(A135="","",IFERROR(SUMIFS(Weekly_Log!F:F,Weekly_Log!A:A,$B$1,Weekly_Log!B:B,$I135),0))</f>
      </c>
      <c r="F135">
        <f>IF(A135="","",D135+E135)</f>
      </c>
      <c r="G135">
        <f>IF(A135="","",IF(F135&gt;=C135,"On Track",IF(F135=0,"No Output","Behind")))</f>
      </c>
      <c r="H135">
        <f>IF(A135="","",HYPERLINK(XLOOKUP(A135,Team!A:A,Team!C:C),"Open Feather"))</f>
      </c>
      <c r="I135">
        <f>IF(A135="","",XLOOKUP(A135,Team!A:A,Team!B:B))</f>
      </c>
    </row>
    <row r="136">
      <c r="A136" t="str">
        <v/>
      </c>
      <c r="B136">
        <f>IF(A136="","",XLOOKUP(A136,Team!A:A,Team!D:D))</f>
      </c>
      <c r="C136">
        <f>IF(A136="","",XLOOKUP(A136,Team!A:A,Team!F:F))</f>
      </c>
      <c r="D136">
        <f>IF(A136="","",IFERROR(SUMIFS(Weekly_Log!E:E,Weekly_Log!A:A,$B$1,Weekly_Log!B:B,$I136),0))</f>
      </c>
      <c r="E136">
        <f>IF(A136="","",IFERROR(SUMIFS(Weekly_Log!F:F,Weekly_Log!A:A,$B$1,Weekly_Log!B:B,$I136),0))</f>
      </c>
      <c r="F136">
        <f>IF(A136="","",D136+E136)</f>
      </c>
      <c r="G136">
        <f>IF(A136="","",IF(F136&gt;=C136,"On Track",IF(F136=0,"No Output","Behind")))</f>
      </c>
      <c r="H136">
        <f>IF(A136="","",HYPERLINK(XLOOKUP(A136,Team!A:A,Team!C:C),"Open Feather"))</f>
      </c>
      <c r="I136">
        <f>IF(A136="","",XLOOKUP(A136,Team!A:A,Team!B:B))</f>
      </c>
    </row>
    <row r="137">
      <c r="A137" t="str">
        <v/>
      </c>
      <c r="B137">
        <f>IF(A137="","",XLOOKUP(A137,Team!A:A,Team!D:D))</f>
      </c>
      <c r="C137">
        <f>IF(A137="","",XLOOKUP(A137,Team!A:A,Team!F:F))</f>
      </c>
      <c r="D137">
        <f>IF(A137="","",IFERROR(SUMIFS(Weekly_Log!E:E,Weekly_Log!A:A,$B$1,Weekly_Log!B:B,$I137),0))</f>
      </c>
      <c r="E137">
        <f>IF(A137="","",IFERROR(SUMIFS(Weekly_Log!F:F,Weekly_Log!A:A,$B$1,Weekly_Log!B:B,$I137),0))</f>
      </c>
      <c r="F137">
        <f>IF(A137="","",D137+E137)</f>
      </c>
      <c r="G137">
        <f>IF(A137="","",IF(F137&gt;=C137,"On Track",IF(F137=0,"No Output","Behind")))</f>
      </c>
      <c r="H137">
        <f>IF(A137="","",HYPERLINK(XLOOKUP(A137,Team!A:A,Team!C:C),"Open Feather"))</f>
      </c>
      <c r="I137">
        <f>IF(A137="","",XLOOKUP(A137,Team!A:A,Team!B:B))</f>
      </c>
    </row>
    <row r="138">
      <c r="A138" t="str">
        <v/>
      </c>
      <c r="B138">
        <f>IF(A138="","",XLOOKUP(A138,Team!A:A,Team!D:D))</f>
      </c>
      <c r="C138">
        <f>IF(A138="","",XLOOKUP(A138,Team!A:A,Team!F:F))</f>
      </c>
      <c r="D138">
        <f>IF(A138="","",IFERROR(SUMIFS(Weekly_Log!E:E,Weekly_Log!A:A,$B$1,Weekly_Log!B:B,$I138),0))</f>
      </c>
      <c r="E138">
        <f>IF(A138="","",IFERROR(SUMIFS(Weekly_Log!F:F,Weekly_Log!A:A,$B$1,Weekly_Log!B:B,$I138),0))</f>
      </c>
      <c r="F138">
        <f>IF(A138="","",D138+E138)</f>
      </c>
      <c r="G138">
        <f>IF(A138="","",IF(F138&gt;=C138,"On Track",IF(F138=0,"No Output","Behind")))</f>
      </c>
      <c r="H138">
        <f>IF(A138="","",HYPERLINK(XLOOKUP(A138,Team!A:A,Team!C:C),"Open Feather"))</f>
      </c>
      <c r="I138">
        <f>IF(A138="","",XLOOKUP(A138,Team!A:A,Team!B:B))</f>
      </c>
    </row>
    <row r="139">
      <c r="A139" t="str">
        <v/>
      </c>
      <c r="B139">
        <f>IF(A139="","",XLOOKUP(A139,Team!A:A,Team!D:D))</f>
      </c>
      <c r="C139">
        <f>IF(A139="","",XLOOKUP(A139,Team!A:A,Team!F:F))</f>
      </c>
      <c r="D139">
        <f>IF(A139="","",IFERROR(SUMIFS(Weekly_Log!E:E,Weekly_Log!A:A,$B$1,Weekly_Log!B:B,$I139),0))</f>
      </c>
      <c r="E139">
        <f>IF(A139="","",IFERROR(SUMIFS(Weekly_Log!F:F,Weekly_Log!A:A,$B$1,Weekly_Log!B:B,$I139),0))</f>
      </c>
      <c r="F139">
        <f>IF(A139="","",D139+E139)</f>
      </c>
      <c r="G139">
        <f>IF(A139="","",IF(F139&gt;=C139,"On Track",IF(F139=0,"No Output","Behind")))</f>
      </c>
      <c r="H139">
        <f>IF(A139="","",HYPERLINK(XLOOKUP(A139,Team!A:A,Team!C:C),"Open Feather"))</f>
      </c>
      <c r="I139">
        <f>IF(A139="","",XLOOKUP(A139,Team!A:A,Team!B:B))</f>
      </c>
    </row>
    <row r="140">
      <c r="A140" t="str">
        <v/>
      </c>
      <c r="B140">
        <f>IF(A140="","",XLOOKUP(A140,Team!A:A,Team!D:D))</f>
      </c>
      <c r="C140">
        <f>IF(A140="","",XLOOKUP(A140,Team!A:A,Team!F:F))</f>
      </c>
      <c r="D140">
        <f>IF(A140="","",IFERROR(SUMIFS(Weekly_Log!E:E,Weekly_Log!A:A,$B$1,Weekly_Log!B:B,$I140),0))</f>
      </c>
      <c r="E140">
        <f>IF(A140="","",IFERROR(SUMIFS(Weekly_Log!F:F,Weekly_Log!A:A,$B$1,Weekly_Log!B:B,$I140),0))</f>
      </c>
      <c r="F140">
        <f>IF(A140="","",D140+E140)</f>
      </c>
      <c r="G140">
        <f>IF(A140="","",IF(F140&gt;=C140,"On Track",IF(F140=0,"No Output","Behind")))</f>
      </c>
      <c r="H140">
        <f>IF(A140="","",HYPERLINK(XLOOKUP(A140,Team!A:A,Team!C:C),"Open Feather"))</f>
      </c>
      <c r="I140">
        <f>IF(A140="","",XLOOKUP(A140,Team!A:A,Team!B:B))</f>
      </c>
    </row>
    <row r="141">
      <c r="A141" t="str">
        <v/>
      </c>
      <c r="B141">
        <f>IF(A141="","",XLOOKUP(A141,Team!A:A,Team!D:D))</f>
      </c>
      <c r="C141">
        <f>IF(A141="","",XLOOKUP(A141,Team!A:A,Team!F:F))</f>
      </c>
      <c r="D141">
        <f>IF(A141="","",IFERROR(SUMIFS(Weekly_Log!E:E,Weekly_Log!A:A,$B$1,Weekly_Log!B:B,$I141),0))</f>
      </c>
      <c r="E141">
        <f>IF(A141="","",IFERROR(SUMIFS(Weekly_Log!F:F,Weekly_Log!A:A,$B$1,Weekly_Log!B:B,$I141),0))</f>
      </c>
      <c r="F141">
        <f>IF(A141="","",D141+E141)</f>
      </c>
      <c r="G141">
        <f>IF(A141="","",IF(F141&gt;=C141,"On Track",IF(F141=0,"No Output","Behind")))</f>
      </c>
      <c r="H141">
        <f>IF(A141="","",HYPERLINK(XLOOKUP(A141,Team!A:A,Team!C:C),"Open Feather"))</f>
      </c>
      <c r="I141">
        <f>IF(A141="","",XLOOKUP(A141,Team!A:A,Team!B:B))</f>
      </c>
    </row>
    <row r="142">
      <c r="A142" t="str">
        <v/>
      </c>
      <c r="B142">
        <f>IF(A142="","",XLOOKUP(A142,Team!A:A,Team!D:D))</f>
      </c>
      <c r="C142">
        <f>IF(A142="","",XLOOKUP(A142,Team!A:A,Team!F:F))</f>
      </c>
      <c r="D142">
        <f>IF(A142="","",IFERROR(SUMIFS(Weekly_Log!E:E,Weekly_Log!A:A,$B$1,Weekly_Log!B:B,$I142),0))</f>
      </c>
      <c r="E142">
        <f>IF(A142="","",IFERROR(SUMIFS(Weekly_Log!F:F,Weekly_Log!A:A,$B$1,Weekly_Log!B:B,$I142),0))</f>
      </c>
      <c r="F142">
        <f>IF(A142="","",D142+E142)</f>
      </c>
      <c r="G142">
        <f>IF(A142="","",IF(F142&gt;=C142,"On Track",IF(F142=0,"No Output","Behind")))</f>
      </c>
      <c r="H142">
        <f>IF(A142="","",HYPERLINK(XLOOKUP(A142,Team!A:A,Team!C:C),"Open Feather"))</f>
      </c>
      <c r="I142">
        <f>IF(A142="","",XLOOKUP(A142,Team!A:A,Team!B:B))</f>
      </c>
    </row>
    <row r="143">
      <c r="A143" t="str">
        <v/>
      </c>
      <c r="B143">
        <f>IF(A143="","",XLOOKUP(A143,Team!A:A,Team!D:D))</f>
      </c>
      <c r="C143">
        <f>IF(A143="","",XLOOKUP(A143,Team!A:A,Team!F:F))</f>
      </c>
      <c r="D143">
        <f>IF(A143="","",IFERROR(SUMIFS(Weekly_Log!E:E,Weekly_Log!A:A,$B$1,Weekly_Log!B:B,$I143),0))</f>
      </c>
      <c r="E143">
        <f>IF(A143="","",IFERROR(SUMIFS(Weekly_Log!F:F,Weekly_Log!A:A,$B$1,Weekly_Log!B:B,$I143),0))</f>
      </c>
      <c r="F143">
        <f>IF(A143="","",D143+E143)</f>
      </c>
      <c r="G143">
        <f>IF(A143="","",IF(F143&gt;=C143,"On Track",IF(F143=0,"No Output","Behind")))</f>
      </c>
      <c r="H143">
        <f>IF(A143="","",HYPERLINK(XLOOKUP(A143,Team!A:A,Team!C:C),"Open Feather"))</f>
      </c>
      <c r="I143">
        <f>IF(A143="","",XLOOKUP(A143,Team!A:A,Team!B:B))</f>
      </c>
    </row>
    <row r="144">
      <c r="A144" t="str">
        <v/>
      </c>
      <c r="B144">
        <f>IF(A144="","",XLOOKUP(A144,Team!A:A,Team!D:D))</f>
      </c>
      <c r="C144">
        <f>IF(A144="","",XLOOKUP(A144,Team!A:A,Team!F:F))</f>
      </c>
      <c r="D144">
        <f>IF(A144="","",IFERROR(SUMIFS(Weekly_Log!E:E,Weekly_Log!A:A,$B$1,Weekly_Log!B:B,$I144),0))</f>
      </c>
      <c r="E144">
        <f>IF(A144="","",IFERROR(SUMIFS(Weekly_Log!F:F,Weekly_Log!A:A,$B$1,Weekly_Log!B:B,$I144),0))</f>
      </c>
      <c r="F144">
        <f>IF(A144="","",D144+E144)</f>
      </c>
      <c r="G144">
        <f>IF(A144="","",IF(F144&gt;=C144,"On Track",IF(F144=0,"No Output","Behind")))</f>
      </c>
      <c r="H144">
        <f>IF(A144="","",HYPERLINK(XLOOKUP(A144,Team!A:A,Team!C:C),"Open Feather"))</f>
      </c>
      <c r="I144">
        <f>IF(A144="","",XLOOKUP(A144,Team!A:A,Team!B:B))</f>
      </c>
    </row>
    <row r="145">
      <c r="A145" t="str">
        <v/>
      </c>
      <c r="B145">
        <f>IF(A145="","",XLOOKUP(A145,Team!A:A,Team!D:D))</f>
      </c>
      <c r="C145">
        <f>IF(A145="","",XLOOKUP(A145,Team!A:A,Team!F:F))</f>
      </c>
      <c r="D145">
        <f>IF(A145="","",IFERROR(SUMIFS(Weekly_Log!E:E,Weekly_Log!A:A,$B$1,Weekly_Log!B:B,$I145),0))</f>
      </c>
      <c r="E145">
        <f>IF(A145="","",IFERROR(SUMIFS(Weekly_Log!F:F,Weekly_Log!A:A,$B$1,Weekly_Log!B:B,$I145),0))</f>
      </c>
      <c r="F145">
        <f>IF(A145="","",D145+E145)</f>
      </c>
      <c r="G145">
        <f>IF(A145="","",IF(F145&gt;=C145,"On Track",IF(F145=0,"No Output","Behind")))</f>
      </c>
      <c r="H145">
        <f>IF(A145="","",HYPERLINK(XLOOKUP(A145,Team!A:A,Team!C:C),"Open Feather"))</f>
      </c>
      <c r="I145">
        <f>IF(A145="","",XLOOKUP(A145,Team!A:A,Team!B:B))</f>
      </c>
    </row>
    <row r="146">
      <c r="A146" t="str">
        <v/>
      </c>
      <c r="B146">
        <f>IF(A146="","",XLOOKUP(A146,Team!A:A,Team!D:D))</f>
      </c>
      <c r="C146">
        <f>IF(A146="","",XLOOKUP(A146,Team!A:A,Team!F:F))</f>
      </c>
      <c r="D146">
        <f>IF(A146="","",IFERROR(SUMIFS(Weekly_Log!E:E,Weekly_Log!A:A,$B$1,Weekly_Log!B:B,$I146),0))</f>
      </c>
      <c r="E146">
        <f>IF(A146="","",IFERROR(SUMIFS(Weekly_Log!F:F,Weekly_Log!A:A,$B$1,Weekly_Log!B:B,$I146),0))</f>
      </c>
      <c r="F146">
        <f>IF(A146="","",D146+E146)</f>
      </c>
      <c r="G146">
        <f>IF(A146="","",IF(F146&gt;=C146,"On Track",IF(F146=0,"No Output","Behind")))</f>
      </c>
      <c r="H146">
        <f>IF(A146="","",HYPERLINK(XLOOKUP(A146,Team!A:A,Team!C:C),"Open Feather"))</f>
      </c>
      <c r="I146">
        <f>IF(A146="","",XLOOKUP(A146,Team!A:A,Team!B:B))</f>
      </c>
    </row>
    <row r="147">
      <c r="A147" t="str">
        <v/>
      </c>
      <c r="B147">
        <f>IF(A147="","",XLOOKUP(A147,Team!A:A,Team!D:D))</f>
      </c>
      <c r="C147">
        <f>IF(A147="","",XLOOKUP(A147,Team!A:A,Team!F:F))</f>
      </c>
      <c r="D147">
        <f>IF(A147="","",IFERROR(SUMIFS(Weekly_Log!E:E,Weekly_Log!A:A,$B$1,Weekly_Log!B:B,$I147),0))</f>
      </c>
      <c r="E147">
        <f>IF(A147="","",IFERROR(SUMIFS(Weekly_Log!F:F,Weekly_Log!A:A,$B$1,Weekly_Log!B:B,$I147),0))</f>
      </c>
      <c r="F147">
        <f>IF(A147="","",D147+E147)</f>
      </c>
      <c r="G147">
        <f>IF(A147="","",IF(F147&gt;=C147,"On Track",IF(F147=0,"No Output","Behind")))</f>
      </c>
      <c r="H147">
        <f>IF(A147="","",HYPERLINK(XLOOKUP(A147,Team!A:A,Team!C:C),"Open Feather"))</f>
      </c>
      <c r="I147">
        <f>IF(A147="","",XLOOKUP(A147,Team!A:A,Team!B:B))</f>
      </c>
    </row>
    <row r="148">
      <c r="A148" t="str">
        <v/>
      </c>
      <c r="B148">
        <f>IF(A148="","",XLOOKUP(A148,Team!A:A,Team!D:D))</f>
      </c>
      <c r="C148">
        <f>IF(A148="","",XLOOKUP(A148,Team!A:A,Team!F:F))</f>
      </c>
      <c r="D148">
        <f>IF(A148="","",IFERROR(SUMIFS(Weekly_Log!E:E,Weekly_Log!A:A,$B$1,Weekly_Log!B:B,$I148),0))</f>
      </c>
      <c r="E148">
        <f>IF(A148="","",IFERROR(SUMIFS(Weekly_Log!F:F,Weekly_Log!A:A,$B$1,Weekly_Log!B:B,$I148),0))</f>
      </c>
      <c r="F148">
        <f>IF(A148="","",D148+E148)</f>
      </c>
      <c r="G148">
        <f>IF(A148="","",IF(F148&gt;=C148,"On Track",IF(F148=0,"No Output","Behind")))</f>
      </c>
      <c r="H148">
        <f>IF(A148="","",HYPERLINK(XLOOKUP(A148,Team!A:A,Team!C:C),"Open Feather"))</f>
      </c>
      <c r="I148">
        <f>IF(A148="","",XLOOKUP(A148,Team!A:A,Team!B:B))</f>
      </c>
    </row>
    <row r="149">
      <c r="A149" t="str">
        <v/>
      </c>
      <c r="B149">
        <f>IF(A149="","",XLOOKUP(A149,Team!A:A,Team!D:D))</f>
      </c>
      <c r="C149">
        <f>IF(A149="","",XLOOKUP(A149,Team!A:A,Team!F:F))</f>
      </c>
      <c r="D149">
        <f>IF(A149="","",IFERROR(SUMIFS(Weekly_Log!E:E,Weekly_Log!A:A,$B$1,Weekly_Log!B:B,$I149),0))</f>
      </c>
      <c r="E149">
        <f>IF(A149="","",IFERROR(SUMIFS(Weekly_Log!F:F,Weekly_Log!A:A,$B$1,Weekly_Log!B:B,$I149),0))</f>
      </c>
      <c r="F149">
        <f>IF(A149="","",D149+E149)</f>
      </c>
      <c r="G149">
        <f>IF(A149="","",IF(F149&gt;=C149,"On Track",IF(F149=0,"No Output","Behind")))</f>
      </c>
      <c r="H149">
        <f>IF(A149="","",HYPERLINK(XLOOKUP(A149,Team!A:A,Team!C:C),"Open Feather"))</f>
      </c>
      <c r="I149">
        <f>IF(A149="","",XLOOKUP(A149,Team!A:A,Team!B:B))</f>
      </c>
    </row>
    <row r="150">
      <c r="A150" t="str">
        <v/>
      </c>
      <c r="B150">
        <f>IF(A150="","",XLOOKUP(A150,Team!A:A,Team!D:D))</f>
      </c>
      <c r="C150">
        <f>IF(A150="","",XLOOKUP(A150,Team!A:A,Team!F:F))</f>
      </c>
      <c r="D150">
        <f>IF(A150="","",IFERROR(SUMIFS(Weekly_Log!E:E,Weekly_Log!A:A,$B$1,Weekly_Log!B:B,$I150),0))</f>
      </c>
      <c r="E150">
        <f>IF(A150="","",IFERROR(SUMIFS(Weekly_Log!F:F,Weekly_Log!A:A,$B$1,Weekly_Log!B:B,$I150),0))</f>
      </c>
      <c r="F150">
        <f>IF(A150="","",D150+E150)</f>
      </c>
      <c r="G150">
        <f>IF(A150="","",IF(F150&gt;=C150,"On Track",IF(F150=0,"No Output","Behind")))</f>
      </c>
      <c r="H150">
        <f>IF(A150="","",HYPERLINK(XLOOKUP(A150,Team!A:A,Team!C:C),"Open Feather"))</f>
      </c>
      <c r="I150">
        <f>IF(A150="","",XLOOKUP(A150,Team!A:A,Team!B:B))</f>
      </c>
    </row>
    <row r="151">
      <c r="A151" t="str">
        <v/>
      </c>
      <c r="B151">
        <f>IF(A151="","",XLOOKUP(A151,Team!A:A,Team!D:D))</f>
      </c>
      <c r="C151">
        <f>IF(A151="","",XLOOKUP(A151,Team!A:A,Team!F:F))</f>
      </c>
      <c r="D151">
        <f>IF(A151="","",IFERROR(SUMIFS(Weekly_Log!E:E,Weekly_Log!A:A,$B$1,Weekly_Log!B:B,$I151),0))</f>
      </c>
      <c r="E151">
        <f>IF(A151="","",IFERROR(SUMIFS(Weekly_Log!F:F,Weekly_Log!A:A,$B$1,Weekly_Log!B:B,$I151),0))</f>
      </c>
      <c r="F151">
        <f>IF(A151="","",D151+E151)</f>
      </c>
      <c r="G151">
        <f>IF(A151="","",IF(F151&gt;=C151,"On Track",IF(F151=0,"No Output","Behind")))</f>
      </c>
      <c r="H151">
        <f>IF(A151="","",HYPERLINK(XLOOKUP(A151,Team!A:A,Team!C:C),"Open Feather"))</f>
      </c>
      <c r="I151">
        <f>IF(A151="","",XLOOKUP(A151,Team!A:A,Team!B:B))</f>
      </c>
    </row>
    <row r="152">
      <c r="A152" t="str">
        <v/>
      </c>
      <c r="B152">
        <f>IF(A152="","",XLOOKUP(A152,Team!A:A,Team!D:D))</f>
      </c>
      <c r="C152">
        <f>IF(A152="","",XLOOKUP(A152,Team!A:A,Team!F:F))</f>
      </c>
      <c r="D152">
        <f>IF(A152="","",IFERROR(SUMIFS(Weekly_Log!E:E,Weekly_Log!A:A,$B$1,Weekly_Log!B:B,$I152),0))</f>
      </c>
      <c r="E152">
        <f>IF(A152="","",IFERROR(SUMIFS(Weekly_Log!F:F,Weekly_Log!A:A,$B$1,Weekly_Log!B:B,$I152),0))</f>
      </c>
      <c r="F152">
        <f>IF(A152="","",D152+E152)</f>
      </c>
      <c r="G152">
        <f>IF(A152="","",IF(F152&gt;=C152,"On Track",IF(F152=0,"No Output","Behind")))</f>
      </c>
      <c r="H152">
        <f>IF(A152="","",HYPERLINK(XLOOKUP(A152,Team!A:A,Team!C:C),"Open Feather"))</f>
      </c>
      <c r="I152">
        <f>IF(A152="","",XLOOKUP(A152,Team!A:A,Team!B:B))</f>
      </c>
    </row>
    <row r="153">
      <c r="A153" t="str">
        <v/>
      </c>
      <c r="B153">
        <f>IF(A153="","",XLOOKUP(A153,Team!A:A,Team!D:D))</f>
      </c>
      <c r="C153">
        <f>IF(A153="","",XLOOKUP(A153,Team!A:A,Team!F:F))</f>
      </c>
      <c r="D153">
        <f>IF(A153="","",IFERROR(SUMIFS(Weekly_Log!E:E,Weekly_Log!A:A,$B$1,Weekly_Log!B:B,$I153),0))</f>
      </c>
      <c r="E153">
        <f>IF(A153="","",IFERROR(SUMIFS(Weekly_Log!F:F,Weekly_Log!A:A,$B$1,Weekly_Log!B:B,$I153),0))</f>
      </c>
      <c r="F153">
        <f>IF(A153="","",D153+E153)</f>
      </c>
      <c r="G153">
        <f>IF(A153="","",IF(F153&gt;=C153,"On Track",IF(F153=0,"No Output","Behind")))</f>
      </c>
      <c r="H153">
        <f>IF(A153="","",HYPERLINK(XLOOKUP(A153,Team!A:A,Team!C:C),"Open Feather"))</f>
      </c>
      <c r="I153">
        <f>IF(A153="","",XLOOKUP(A153,Team!A:A,Team!B:B))</f>
      </c>
    </row>
    <row r="154">
      <c r="A154" t="str">
        <v/>
      </c>
      <c r="B154">
        <f>IF(A154="","",XLOOKUP(A154,Team!A:A,Team!D:D))</f>
      </c>
      <c r="C154">
        <f>IF(A154="","",XLOOKUP(A154,Team!A:A,Team!F:F))</f>
      </c>
      <c r="D154">
        <f>IF(A154="","",IFERROR(SUMIFS(Weekly_Log!E:E,Weekly_Log!A:A,$B$1,Weekly_Log!B:B,$I154),0))</f>
      </c>
      <c r="E154">
        <f>IF(A154="","",IFERROR(SUMIFS(Weekly_Log!F:F,Weekly_Log!A:A,$B$1,Weekly_Log!B:B,$I154),0))</f>
      </c>
      <c r="F154">
        <f>IF(A154="","",D154+E154)</f>
      </c>
      <c r="G154">
        <f>IF(A154="","",IF(F154&gt;=C154,"On Track",IF(F154=0,"No Output","Behind")))</f>
      </c>
      <c r="H154">
        <f>IF(A154="","",HYPERLINK(XLOOKUP(A154,Team!A:A,Team!C:C),"Open Feather"))</f>
      </c>
      <c r="I154">
        <f>IF(A154="","",XLOOKUP(A154,Team!A:A,Team!B:B))</f>
      </c>
    </row>
    <row r="155">
      <c r="A155" t="str">
        <v/>
      </c>
      <c r="B155">
        <f>IF(A155="","",XLOOKUP(A155,Team!A:A,Team!D:D))</f>
      </c>
      <c r="C155">
        <f>IF(A155="","",XLOOKUP(A155,Team!A:A,Team!F:F))</f>
      </c>
      <c r="D155">
        <f>IF(A155="","",IFERROR(SUMIFS(Weekly_Log!E:E,Weekly_Log!A:A,$B$1,Weekly_Log!B:B,$I155),0))</f>
      </c>
      <c r="E155">
        <f>IF(A155="","",IFERROR(SUMIFS(Weekly_Log!F:F,Weekly_Log!A:A,$B$1,Weekly_Log!B:B,$I155),0))</f>
      </c>
      <c r="F155">
        <f>IF(A155="","",D155+E155)</f>
      </c>
      <c r="G155">
        <f>IF(A155="","",IF(F155&gt;=C155,"On Track",IF(F155=0,"No Output","Behind")))</f>
      </c>
      <c r="H155">
        <f>IF(A155="","",HYPERLINK(XLOOKUP(A155,Team!A:A,Team!C:C),"Open Feather"))</f>
      </c>
      <c r="I155">
        <f>IF(A155="","",XLOOKUP(A155,Team!A:A,Team!B:B))</f>
      </c>
    </row>
    <row r="156">
      <c r="A156" t="str">
        <v/>
      </c>
      <c r="B156">
        <f>IF(A156="","",XLOOKUP(A156,Team!A:A,Team!D:D))</f>
      </c>
      <c r="C156">
        <f>IF(A156="","",XLOOKUP(A156,Team!A:A,Team!F:F))</f>
      </c>
      <c r="D156">
        <f>IF(A156="","",IFERROR(SUMIFS(Weekly_Log!E:E,Weekly_Log!A:A,$B$1,Weekly_Log!B:B,$I156),0))</f>
      </c>
      <c r="E156">
        <f>IF(A156="","",IFERROR(SUMIFS(Weekly_Log!F:F,Weekly_Log!A:A,$B$1,Weekly_Log!B:B,$I156),0))</f>
      </c>
      <c r="F156">
        <f>IF(A156="","",D156+E156)</f>
      </c>
      <c r="G156">
        <f>IF(A156="","",IF(F156&gt;=C156,"On Track",IF(F156=0,"No Output","Behind")))</f>
      </c>
      <c r="H156">
        <f>IF(A156="","",HYPERLINK(XLOOKUP(A156,Team!A:A,Team!C:C),"Open Feather"))</f>
      </c>
      <c r="I156">
        <f>IF(A156="","",XLOOKUP(A156,Team!A:A,Team!B:B))</f>
      </c>
    </row>
    <row r="157">
      <c r="A157" t="str">
        <v/>
      </c>
      <c r="B157">
        <f>IF(A157="","",XLOOKUP(A157,Team!A:A,Team!D:D))</f>
      </c>
      <c r="C157">
        <f>IF(A157="","",XLOOKUP(A157,Team!A:A,Team!F:F))</f>
      </c>
      <c r="D157">
        <f>IF(A157="","",IFERROR(SUMIFS(Weekly_Log!E:E,Weekly_Log!A:A,$B$1,Weekly_Log!B:B,$I157),0))</f>
      </c>
      <c r="E157">
        <f>IF(A157="","",IFERROR(SUMIFS(Weekly_Log!F:F,Weekly_Log!A:A,$B$1,Weekly_Log!B:B,$I157),0))</f>
      </c>
      <c r="F157">
        <f>IF(A157="","",D157+E157)</f>
      </c>
      <c r="G157">
        <f>IF(A157="","",IF(F157&gt;=C157,"On Track",IF(F157=0,"No Output","Behind")))</f>
      </c>
      <c r="H157">
        <f>IF(A157="","",HYPERLINK(XLOOKUP(A157,Team!A:A,Team!C:C),"Open Feather"))</f>
      </c>
      <c r="I157">
        <f>IF(A157="","",XLOOKUP(A157,Team!A:A,Team!B:B))</f>
      </c>
    </row>
    <row r="158">
      <c r="A158" t="str">
        <v/>
      </c>
      <c r="B158">
        <f>IF(A158="","",XLOOKUP(A158,Team!A:A,Team!D:D))</f>
      </c>
      <c r="C158">
        <f>IF(A158="","",XLOOKUP(A158,Team!A:A,Team!F:F))</f>
      </c>
      <c r="D158">
        <f>IF(A158="","",IFERROR(SUMIFS(Weekly_Log!E:E,Weekly_Log!A:A,$B$1,Weekly_Log!B:B,$I158),0))</f>
      </c>
      <c r="E158">
        <f>IF(A158="","",IFERROR(SUMIFS(Weekly_Log!F:F,Weekly_Log!A:A,$B$1,Weekly_Log!B:B,$I158),0))</f>
      </c>
      <c r="F158">
        <f>IF(A158="","",D158+E158)</f>
      </c>
      <c r="G158">
        <f>IF(A158="","",IF(F158&gt;=C158,"On Track",IF(F158=0,"No Output","Behind")))</f>
      </c>
      <c r="H158">
        <f>IF(A158="","",HYPERLINK(XLOOKUP(A158,Team!A:A,Team!C:C),"Open Feather"))</f>
      </c>
      <c r="I158">
        <f>IF(A158="","",XLOOKUP(A158,Team!A:A,Team!B:B))</f>
      </c>
    </row>
    <row r="159">
      <c r="A159" t="str">
        <v/>
      </c>
      <c r="B159">
        <f>IF(A159="","",XLOOKUP(A159,Team!A:A,Team!D:D))</f>
      </c>
      <c r="C159">
        <f>IF(A159="","",XLOOKUP(A159,Team!A:A,Team!F:F))</f>
      </c>
      <c r="D159">
        <f>IF(A159="","",IFERROR(SUMIFS(Weekly_Log!E:E,Weekly_Log!A:A,$B$1,Weekly_Log!B:B,$I159),0))</f>
      </c>
      <c r="E159">
        <f>IF(A159="","",IFERROR(SUMIFS(Weekly_Log!F:F,Weekly_Log!A:A,$B$1,Weekly_Log!B:B,$I159),0))</f>
      </c>
      <c r="F159">
        <f>IF(A159="","",D159+E159)</f>
      </c>
      <c r="G159">
        <f>IF(A159="","",IF(F159&gt;=C159,"On Track",IF(F159=0,"No Output","Behind")))</f>
      </c>
      <c r="H159">
        <f>IF(A159="","",HYPERLINK(XLOOKUP(A159,Team!A:A,Team!C:C),"Open Feather"))</f>
      </c>
      <c r="I159">
        <f>IF(A159="","",XLOOKUP(A159,Team!A:A,Team!B:B))</f>
      </c>
    </row>
    <row r="160">
      <c r="A160" t="str">
        <v/>
      </c>
      <c r="B160">
        <f>IF(A160="","",XLOOKUP(A160,Team!A:A,Team!D:D))</f>
      </c>
      <c r="C160">
        <f>IF(A160="","",XLOOKUP(A160,Team!A:A,Team!F:F))</f>
      </c>
      <c r="D160">
        <f>IF(A160="","",IFERROR(SUMIFS(Weekly_Log!E:E,Weekly_Log!A:A,$B$1,Weekly_Log!B:B,$I160),0))</f>
      </c>
      <c r="E160">
        <f>IF(A160="","",IFERROR(SUMIFS(Weekly_Log!F:F,Weekly_Log!A:A,$B$1,Weekly_Log!B:B,$I160),0))</f>
      </c>
      <c r="F160">
        <f>IF(A160="","",D160+E160)</f>
      </c>
      <c r="G160">
        <f>IF(A160="","",IF(F160&gt;=C160,"On Track",IF(F160=0,"No Output","Behind")))</f>
      </c>
      <c r="H160">
        <f>IF(A160="","",HYPERLINK(XLOOKUP(A160,Team!A:A,Team!C:C),"Open Feather"))</f>
      </c>
      <c r="I160">
        <f>IF(A160="","",XLOOKUP(A160,Team!A:A,Team!B:B))</f>
      </c>
    </row>
    <row r="161">
      <c r="A161" t="str">
        <v/>
      </c>
      <c r="B161">
        <f>IF(A161="","",XLOOKUP(A161,Team!A:A,Team!D:D))</f>
      </c>
      <c r="C161">
        <f>IF(A161="","",XLOOKUP(A161,Team!A:A,Team!F:F))</f>
      </c>
      <c r="D161">
        <f>IF(A161="","",IFERROR(SUMIFS(Weekly_Log!E:E,Weekly_Log!A:A,$B$1,Weekly_Log!B:B,$I161),0))</f>
      </c>
      <c r="E161">
        <f>IF(A161="","",IFERROR(SUMIFS(Weekly_Log!F:F,Weekly_Log!A:A,$B$1,Weekly_Log!B:B,$I161),0))</f>
      </c>
      <c r="F161">
        <f>IF(A161="","",D161+E161)</f>
      </c>
      <c r="G161">
        <f>IF(A161="","",IF(F161&gt;=C161,"On Track",IF(F161=0,"No Output","Behind")))</f>
      </c>
      <c r="H161">
        <f>IF(A161="","",HYPERLINK(XLOOKUP(A161,Team!A:A,Team!C:C),"Open Feather"))</f>
      </c>
      <c r="I161">
        <f>IF(A161="","",XLOOKUP(A161,Team!A:A,Team!B:B))</f>
      </c>
    </row>
    <row r="162">
      <c r="A162" t="str">
        <v/>
      </c>
      <c r="B162">
        <f>IF(A162="","",XLOOKUP(A162,Team!A:A,Team!D:D))</f>
      </c>
      <c r="C162">
        <f>IF(A162="","",XLOOKUP(A162,Team!A:A,Team!F:F))</f>
      </c>
      <c r="D162">
        <f>IF(A162="","",IFERROR(SUMIFS(Weekly_Log!E:E,Weekly_Log!A:A,$B$1,Weekly_Log!B:B,$I162),0))</f>
      </c>
      <c r="E162">
        <f>IF(A162="","",IFERROR(SUMIFS(Weekly_Log!F:F,Weekly_Log!A:A,$B$1,Weekly_Log!B:B,$I162),0))</f>
      </c>
      <c r="F162">
        <f>IF(A162="","",D162+E162)</f>
      </c>
      <c r="G162">
        <f>IF(A162="","",IF(F162&gt;=C162,"On Track",IF(F162=0,"No Output","Behind")))</f>
      </c>
      <c r="H162">
        <f>IF(A162="","",HYPERLINK(XLOOKUP(A162,Team!A:A,Team!C:C),"Open Feather"))</f>
      </c>
      <c r="I162">
        <f>IF(A162="","",XLOOKUP(A162,Team!A:A,Team!B:B))</f>
      </c>
    </row>
    <row r="163">
      <c r="A163" t="str">
        <v/>
      </c>
      <c r="B163">
        <f>IF(A163="","",XLOOKUP(A163,Team!A:A,Team!D:D))</f>
      </c>
      <c r="C163">
        <f>IF(A163="","",XLOOKUP(A163,Team!A:A,Team!F:F))</f>
      </c>
      <c r="D163">
        <f>IF(A163="","",IFERROR(SUMIFS(Weekly_Log!E:E,Weekly_Log!A:A,$B$1,Weekly_Log!B:B,$I163),0))</f>
      </c>
      <c r="E163">
        <f>IF(A163="","",IFERROR(SUMIFS(Weekly_Log!F:F,Weekly_Log!A:A,$B$1,Weekly_Log!B:B,$I163),0))</f>
      </c>
      <c r="F163">
        <f>IF(A163="","",D163+E163)</f>
      </c>
      <c r="G163">
        <f>IF(A163="","",IF(F163&gt;=C163,"On Track",IF(F163=0,"No Output","Behind")))</f>
      </c>
      <c r="H163">
        <f>IF(A163="","",HYPERLINK(XLOOKUP(A163,Team!A:A,Team!C:C),"Open Feather"))</f>
      </c>
      <c r="I163">
        <f>IF(A163="","",XLOOKUP(A163,Team!A:A,Team!B:B))</f>
      </c>
    </row>
    <row r="164">
      <c r="A164" t="str">
        <v/>
      </c>
      <c r="B164">
        <f>IF(A164="","",XLOOKUP(A164,Team!A:A,Team!D:D))</f>
      </c>
      <c r="C164">
        <f>IF(A164="","",XLOOKUP(A164,Team!A:A,Team!F:F))</f>
      </c>
      <c r="D164">
        <f>IF(A164="","",IFERROR(SUMIFS(Weekly_Log!E:E,Weekly_Log!A:A,$B$1,Weekly_Log!B:B,$I164),0))</f>
      </c>
      <c r="E164">
        <f>IF(A164="","",IFERROR(SUMIFS(Weekly_Log!F:F,Weekly_Log!A:A,$B$1,Weekly_Log!B:B,$I164),0))</f>
      </c>
      <c r="F164">
        <f>IF(A164="","",D164+E164)</f>
      </c>
      <c r="G164">
        <f>IF(A164="","",IF(F164&gt;=C164,"On Track",IF(F164=0,"No Output","Behind")))</f>
      </c>
      <c r="H164">
        <f>IF(A164="","",HYPERLINK(XLOOKUP(A164,Team!A:A,Team!C:C),"Open Feather"))</f>
      </c>
      <c r="I164">
        <f>IF(A164="","",XLOOKUP(A164,Team!A:A,Team!B:B))</f>
      </c>
    </row>
    <row r="165">
      <c r="A165" t="str">
        <v/>
      </c>
      <c r="B165">
        <f>IF(A165="","",XLOOKUP(A165,Team!A:A,Team!D:D))</f>
      </c>
      <c r="C165">
        <f>IF(A165="","",XLOOKUP(A165,Team!A:A,Team!F:F))</f>
      </c>
      <c r="D165">
        <f>IF(A165="","",IFERROR(SUMIFS(Weekly_Log!E:E,Weekly_Log!A:A,$B$1,Weekly_Log!B:B,$I165),0))</f>
      </c>
      <c r="E165">
        <f>IF(A165="","",IFERROR(SUMIFS(Weekly_Log!F:F,Weekly_Log!A:A,$B$1,Weekly_Log!B:B,$I165),0))</f>
      </c>
      <c r="F165">
        <f>IF(A165="","",D165+E165)</f>
      </c>
      <c r="G165">
        <f>IF(A165="","",IF(F165&gt;=C165,"On Track",IF(F165=0,"No Output","Behind")))</f>
      </c>
      <c r="H165">
        <f>IF(A165="","",HYPERLINK(XLOOKUP(A165,Team!A:A,Team!C:C),"Open Feather"))</f>
      </c>
      <c r="I165">
        <f>IF(A165="","",XLOOKUP(A165,Team!A:A,Team!B:B))</f>
      </c>
    </row>
    <row r="166">
      <c r="A166" t="str">
        <v/>
      </c>
      <c r="B166">
        <f>IF(A166="","",XLOOKUP(A166,Team!A:A,Team!D:D))</f>
      </c>
      <c r="C166">
        <f>IF(A166="","",XLOOKUP(A166,Team!A:A,Team!F:F))</f>
      </c>
      <c r="D166">
        <f>IF(A166="","",IFERROR(SUMIFS(Weekly_Log!E:E,Weekly_Log!A:A,$B$1,Weekly_Log!B:B,$I166),0))</f>
      </c>
      <c r="E166">
        <f>IF(A166="","",IFERROR(SUMIFS(Weekly_Log!F:F,Weekly_Log!A:A,$B$1,Weekly_Log!B:B,$I166),0))</f>
      </c>
      <c r="F166">
        <f>IF(A166="","",D166+E166)</f>
      </c>
      <c r="G166">
        <f>IF(A166="","",IF(F166&gt;=C166,"On Track",IF(F166=0,"No Output","Behind")))</f>
      </c>
      <c r="H166">
        <f>IF(A166="","",HYPERLINK(XLOOKUP(A166,Team!A:A,Team!C:C),"Open Feather"))</f>
      </c>
      <c r="I166">
        <f>IF(A166="","",XLOOKUP(A166,Team!A:A,Team!B:B))</f>
      </c>
    </row>
    <row r="167">
      <c r="A167" t="str">
        <v/>
      </c>
      <c r="B167">
        <f>IF(A167="","",XLOOKUP(A167,Team!A:A,Team!D:D))</f>
      </c>
      <c r="C167">
        <f>IF(A167="","",XLOOKUP(A167,Team!A:A,Team!F:F))</f>
      </c>
      <c r="D167">
        <f>IF(A167="","",IFERROR(SUMIFS(Weekly_Log!E:E,Weekly_Log!A:A,$B$1,Weekly_Log!B:B,$I167),0))</f>
      </c>
      <c r="E167">
        <f>IF(A167="","",IFERROR(SUMIFS(Weekly_Log!F:F,Weekly_Log!A:A,$B$1,Weekly_Log!B:B,$I167),0))</f>
      </c>
      <c r="F167">
        <f>IF(A167="","",D167+E167)</f>
      </c>
      <c r="G167">
        <f>IF(A167="","",IF(F167&gt;=C167,"On Track",IF(F167=0,"No Output","Behind")))</f>
      </c>
      <c r="H167">
        <f>IF(A167="","",HYPERLINK(XLOOKUP(A167,Team!A:A,Team!C:C),"Open Feather"))</f>
      </c>
      <c r="I167">
        <f>IF(A167="","",XLOOKUP(A167,Team!A:A,Team!B:B))</f>
      </c>
    </row>
    <row r="168">
      <c r="A168" t="str">
        <v/>
      </c>
      <c r="B168">
        <f>IF(A168="","",XLOOKUP(A168,Team!A:A,Team!D:D))</f>
      </c>
      <c r="C168">
        <f>IF(A168="","",XLOOKUP(A168,Team!A:A,Team!F:F))</f>
      </c>
      <c r="D168">
        <f>IF(A168="","",IFERROR(SUMIFS(Weekly_Log!E:E,Weekly_Log!A:A,$B$1,Weekly_Log!B:B,$I168),0))</f>
      </c>
      <c r="E168">
        <f>IF(A168="","",IFERROR(SUMIFS(Weekly_Log!F:F,Weekly_Log!A:A,$B$1,Weekly_Log!B:B,$I168),0))</f>
      </c>
      <c r="F168">
        <f>IF(A168="","",D168+E168)</f>
      </c>
      <c r="G168">
        <f>IF(A168="","",IF(F168&gt;=C168,"On Track",IF(F168=0,"No Output","Behind")))</f>
      </c>
      <c r="H168">
        <f>IF(A168="","",HYPERLINK(XLOOKUP(A168,Team!A:A,Team!C:C),"Open Feather"))</f>
      </c>
      <c r="I168">
        <f>IF(A168="","",XLOOKUP(A168,Team!A:A,Team!B:B))</f>
      </c>
    </row>
    <row r="169">
      <c r="A169" t="str">
        <v/>
      </c>
      <c r="B169">
        <f>IF(A169="","",XLOOKUP(A169,Team!A:A,Team!D:D))</f>
      </c>
      <c r="C169">
        <f>IF(A169="","",XLOOKUP(A169,Team!A:A,Team!F:F))</f>
      </c>
      <c r="D169">
        <f>IF(A169="","",IFERROR(SUMIFS(Weekly_Log!E:E,Weekly_Log!A:A,$B$1,Weekly_Log!B:B,$I169),0))</f>
      </c>
      <c r="E169">
        <f>IF(A169="","",IFERROR(SUMIFS(Weekly_Log!F:F,Weekly_Log!A:A,$B$1,Weekly_Log!B:B,$I169),0))</f>
      </c>
      <c r="F169">
        <f>IF(A169="","",D169+E169)</f>
      </c>
      <c r="G169">
        <f>IF(A169="","",IF(F169&gt;=C169,"On Track",IF(F169=0,"No Output","Behind")))</f>
      </c>
      <c r="H169">
        <f>IF(A169="","",HYPERLINK(XLOOKUP(A169,Team!A:A,Team!C:C),"Open Feather"))</f>
      </c>
      <c r="I169">
        <f>IF(A169="","",XLOOKUP(A169,Team!A:A,Team!B:B))</f>
      </c>
    </row>
    <row r="170">
      <c r="A170" t="str">
        <v/>
      </c>
      <c r="B170">
        <f>IF(A170="","",XLOOKUP(A170,Team!A:A,Team!D:D))</f>
      </c>
      <c r="C170">
        <f>IF(A170="","",XLOOKUP(A170,Team!A:A,Team!F:F))</f>
      </c>
      <c r="D170">
        <f>IF(A170="","",IFERROR(SUMIFS(Weekly_Log!E:E,Weekly_Log!A:A,$B$1,Weekly_Log!B:B,$I170),0))</f>
      </c>
      <c r="E170">
        <f>IF(A170="","",IFERROR(SUMIFS(Weekly_Log!F:F,Weekly_Log!A:A,$B$1,Weekly_Log!B:B,$I170),0))</f>
      </c>
      <c r="F170">
        <f>IF(A170="","",D170+E170)</f>
      </c>
      <c r="G170">
        <f>IF(A170="","",IF(F170&gt;=C170,"On Track",IF(F170=0,"No Output","Behind")))</f>
      </c>
      <c r="H170">
        <f>IF(A170="","",HYPERLINK(XLOOKUP(A170,Team!A:A,Team!C:C),"Open Feather"))</f>
      </c>
      <c r="I170">
        <f>IF(A170="","",XLOOKUP(A170,Team!A:A,Team!B:B))</f>
      </c>
    </row>
    <row r="171">
      <c r="A171" t="str">
        <v/>
      </c>
      <c r="B171">
        <f>IF(A171="","",XLOOKUP(A171,Team!A:A,Team!D:D))</f>
      </c>
      <c r="C171">
        <f>IF(A171="","",XLOOKUP(A171,Team!A:A,Team!F:F))</f>
      </c>
      <c r="D171">
        <f>IF(A171="","",IFERROR(SUMIFS(Weekly_Log!E:E,Weekly_Log!A:A,$B$1,Weekly_Log!B:B,$I171),0))</f>
      </c>
      <c r="E171">
        <f>IF(A171="","",IFERROR(SUMIFS(Weekly_Log!F:F,Weekly_Log!A:A,$B$1,Weekly_Log!B:B,$I171),0))</f>
      </c>
      <c r="F171">
        <f>IF(A171="","",D171+E171)</f>
      </c>
      <c r="G171">
        <f>IF(A171="","",IF(F171&gt;=C171,"On Track",IF(F171=0,"No Output","Behind")))</f>
      </c>
      <c r="H171">
        <f>IF(A171="","",HYPERLINK(XLOOKUP(A171,Team!A:A,Team!C:C),"Open Feather"))</f>
      </c>
      <c r="I171">
        <f>IF(A171="","",XLOOKUP(A171,Team!A:A,Team!B:B))</f>
      </c>
    </row>
    <row r="172">
      <c r="A172" t="str">
        <v/>
      </c>
      <c r="B172">
        <f>IF(A172="","",XLOOKUP(A172,Team!A:A,Team!D:D))</f>
      </c>
      <c r="C172">
        <f>IF(A172="","",XLOOKUP(A172,Team!A:A,Team!F:F))</f>
      </c>
      <c r="D172">
        <f>IF(A172="","",IFERROR(SUMIFS(Weekly_Log!E:E,Weekly_Log!A:A,$B$1,Weekly_Log!B:B,$I172),0))</f>
      </c>
      <c r="E172">
        <f>IF(A172="","",IFERROR(SUMIFS(Weekly_Log!F:F,Weekly_Log!A:A,$B$1,Weekly_Log!B:B,$I172),0))</f>
      </c>
      <c r="F172">
        <f>IF(A172="","",D172+E172)</f>
      </c>
      <c r="G172">
        <f>IF(A172="","",IF(F172&gt;=C172,"On Track",IF(F172=0,"No Output","Behind")))</f>
      </c>
      <c r="H172">
        <f>IF(A172="","",HYPERLINK(XLOOKUP(A172,Team!A:A,Team!C:C),"Open Feather"))</f>
      </c>
      <c r="I172">
        <f>IF(A172="","",XLOOKUP(A172,Team!A:A,Team!B:B))</f>
      </c>
    </row>
    <row r="173">
      <c r="A173" t="str">
        <v/>
      </c>
      <c r="B173">
        <f>IF(A173="","",XLOOKUP(A173,Team!A:A,Team!D:D))</f>
      </c>
      <c r="C173">
        <f>IF(A173="","",XLOOKUP(A173,Team!A:A,Team!F:F))</f>
      </c>
      <c r="D173">
        <f>IF(A173="","",IFERROR(SUMIFS(Weekly_Log!E:E,Weekly_Log!A:A,$B$1,Weekly_Log!B:B,$I173),0))</f>
      </c>
      <c r="E173">
        <f>IF(A173="","",IFERROR(SUMIFS(Weekly_Log!F:F,Weekly_Log!A:A,$B$1,Weekly_Log!B:B,$I173),0))</f>
      </c>
      <c r="F173">
        <f>IF(A173="","",D173+E173)</f>
      </c>
      <c r="G173">
        <f>IF(A173="","",IF(F173&gt;=C173,"On Track",IF(F173=0,"No Output","Behind")))</f>
      </c>
      <c r="H173">
        <f>IF(A173="","",HYPERLINK(XLOOKUP(A173,Team!A:A,Team!C:C),"Open Feather"))</f>
      </c>
      <c r="I173">
        <f>IF(A173="","",XLOOKUP(A173,Team!A:A,Team!B:B))</f>
      </c>
    </row>
    <row r="174">
      <c r="A174" t="str">
        <v/>
      </c>
      <c r="B174">
        <f>IF(A174="","",XLOOKUP(A174,Team!A:A,Team!D:D))</f>
      </c>
      <c r="C174">
        <f>IF(A174="","",XLOOKUP(A174,Team!A:A,Team!F:F))</f>
      </c>
      <c r="D174">
        <f>IF(A174="","",IFERROR(SUMIFS(Weekly_Log!E:E,Weekly_Log!A:A,$B$1,Weekly_Log!B:B,$I174),0))</f>
      </c>
      <c r="E174">
        <f>IF(A174="","",IFERROR(SUMIFS(Weekly_Log!F:F,Weekly_Log!A:A,$B$1,Weekly_Log!B:B,$I174),0))</f>
      </c>
      <c r="F174">
        <f>IF(A174="","",D174+E174)</f>
      </c>
      <c r="G174">
        <f>IF(A174="","",IF(F174&gt;=C174,"On Track",IF(F174=0,"No Output","Behind")))</f>
      </c>
      <c r="H174">
        <f>IF(A174="","",HYPERLINK(XLOOKUP(A174,Team!A:A,Team!C:C),"Open Feather"))</f>
      </c>
      <c r="I174">
        <f>IF(A174="","",XLOOKUP(A174,Team!A:A,Team!B:B))</f>
      </c>
    </row>
    <row r="175">
      <c r="A175" t="str">
        <v/>
      </c>
      <c r="B175">
        <f>IF(A175="","",XLOOKUP(A175,Team!A:A,Team!D:D))</f>
      </c>
      <c r="C175">
        <f>IF(A175="","",XLOOKUP(A175,Team!A:A,Team!F:F))</f>
      </c>
      <c r="D175">
        <f>IF(A175="","",IFERROR(SUMIFS(Weekly_Log!E:E,Weekly_Log!A:A,$B$1,Weekly_Log!B:B,$I175),0))</f>
      </c>
      <c r="E175">
        <f>IF(A175="","",IFERROR(SUMIFS(Weekly_Log!F:F,Weekly_Log!A:A,$B$1,Weekly_Log!B:B,$I175),0))</f>
      </c>
      <c r="F175">
        <f>IF(A175="","",D175+E175)</f>
      </c>
      <c r="G175">
        <f>IF(A175="","",IF(F175&gt;=C175,"On Track",IF(F175=0,"No Output","Behind")))</f>
      </c>
      <c r="H175">
        <f>IF(A175="","",HYPERLINK(XLOOKUP(A175,Team!A:A,Team!C:C),"Open Feather"))</f>
      </c>
      <c r="I175">
        <f>IF(A175="","",XLOOKUP(A175,Team!A:A,Team!B:B))</f>
      </c>
    </row>
    <row r="176">
      <c r="A176" t="str">
        <v/>
      </c>
      <c r="B176">
        <f>IF(A176="","",XLOOKUP(A176,Team!A:A,Team!D:D))</f>
      </c>
      <c r="C176">
        <f>IF(A176="","",XLOOKUP(A176,Team!A:A,Team!F:F))</f>
      </c>
      <c r="D176">
        <f>IF(A176="","",IFERROR(SUMIFS(Weekly_Log!E:E,Weekly_Log!A:A,$B$1,Weekly_Log!B:B,$I176),0))</f>
      </c>
      <c r="E176">
        <f>IF(A176="","",IFERROR(SUMIFS(Weekly_Log!F:F,Weekly_Log!A:A,$B$1,Weekly_Log!B:B,$I176),0))</f>
      </c>
      <c r="F176">
        <f>IF(A176="","",D176+E176)</f>
      </c>
      <c r="G176">
        <f>IF(A176="","",IF(F176&gt;=C176,"On Track",IF(F176=0,"No Output","Behind")))</f>
      </c>
      <c r="H176">
        <f>IF(A176="","",HYPERLINK(XLOOKUP(A176,Team!A:A,Team!C:C),"Open Feather"))</f>
      </c>
      <c r="I176">
        <f>IF(A176="","",XLOOKUP(A176,Team!A:A,Team!B:B))</f>
      </c>
    </row>
    <row r="177">
      <c r="A177" t="str">
        <v/>
      </c>
      <c r="B177">
        <f>IF(A177="","",XLOOKUP(A177,Team!A:A,Team!D:D))</f>
      </c>
      <c r="C177">
        <f>IF(A177="","",XLOOKUP(A177,Team!A:A,Team!F:F))</f>
      </c>
      <c r="D177">
        <f>IF(A177="","",IFERROR(SUMIFS(Weekly_Log!E:E,Weekly_Log!A:A,$B$1,Weekly_Log!B:B,$I177),0))</f>
      </c>
      <c r="E177">
        <f>IF(A177="","",IFERROR(SUMIFS(Weekly_Log!F:F,Weekly_Log!A:A,$B$1,Weekly_Log!B:B,$I177),0))</f>
      </c>
      <c r="F177">
        <f>IF(A177="","",D177+E177)</f>
      </c>
      <c r="G177">
        <f>IF(A177="","",IF(F177&gt;=C177,"On Track",IF(F177=0,"No Output","Behind")))</f>
      </c>
      <c r="H177">
        <f>IF(A177="","",HYPERLINK(XLOOKUP(A177,Team!A:A,Team!C:C),"Open Feather"))</f>
      </c>
      <c r="I177">
        <f>IF(A177="","",XLOOKUP(A177,Team!A:A,Team!B:B))</f>
      </c>
    </row>
    <row r="178">
      <c r="A178" t="str">
        <v/>
      </c>
      <c r="B178">
        <f>IF(A178="","",XLOOKUP(A178,Team!A:A,Team!D:D))</f>
      </c>
      <c r="C178">
        <f>IF(A178="","",XLOOKUP(A178,Team!A:A,Team!F:F))</f>
      </c>
      <c r="D178">
        <f>IF(A178="","",IFERROR(SUMIFS(Weekly_Log!E:E,Weekly_Log!A:A,$B$1,Weekly_Log!B:B,$I178),0))</f>
      </c>
      <c r="E178">
        <f>IF(A178="","",IFERROR(SUMIFS(Weekly_Log!F:F,Weekly_Log!A:A,$B$1,Weekly_Log!B:B,$I178),0))</f>
      </c>
      <c r="F178">
        <f>IF(A178="","",D178+E178)</f>
      </c>
      <c r="G178">
        <f>IF(A178="","",IF(F178&gt;=C178,"On Track",IF(F178=0,"No Output","Behind")))</f>
      </c>
      <c r="H178">
        <f>IF(A178="","",HYPERLINK(XLOOKUP(A178,Team!A:A,Team!C:C),"Open Feather"))</f>
      </c>
      <c r="I178">
        <f>IF(A178="","",XLOOKUP(A178,Team!A:A,Team!B:B))</f>
      </c>
    </row>
    <row r="179">
      <c r="A179" t="str">
        <v/>
      </c>
      <c r="B179">
        <f>IF(A179="","",XLOOKUP(A179,Team!A:A,Team!D:D))</f>
      </c>
      <c r="C179">
        <f>IF(A179="","",XLOOKUP(A179,Team!A:A,Team!F:F))</f>
      </c>
      <c r="D179">
        <f>IF(A179="","",IFERROR(SUMIFS(Weekly_Log!E:E,Weekly_Log!A:A,$B$1,Weekly_Log!B:B,$I179),0))</f>
      </c>
      <c r="E179">
        <f>IF(A179="","",IFERROR(SUMIFS(Weekly_Log!F:F,Weekly_Log!A:A,$B$1,Weekly_Log!B:B,$I179),0))</f>
      </c>
      <c r="F179">
        <f>IF(A179="","",D179+E179)</f>
      </c>
      <c r="G179">
        <f>IF(A179="","",IF(F179&gt;=C179,"On Track",IF(F179=0,"No Output","Behind")))</f>
      </c>
      <c r="H179">
        <f>IF(A179="","",HYPERLINK(XLOOKUP(A179,Team!A:A,Team!C:C),"Open Feather"))</f>
      </c>
      <c r="I179">
        <f>IF(A179="","",XLOOKUP(A179,Team!A:A,Team!B:B))</f>
      </c>
    </row>
    <row r="180">
      <c r="A180" t="str">
        <v/>
      </c>
      <c r="B180">
        <f>IF(A180="","",XLOOKUP(A180,Team!A:A,Team!D:D))</f>
      </c>
      <c r="C180">
        <f>IF(A180="","",XLOOKUP(A180,Team!A:A,Team!F:F))</f>
      </c>
      <c r="D180">
        <f>IF(A180="","",IFERROR(SUMIFS(Weekly_Log!E:E,Weekly_Log!A:A,$B$1,Weekly_Log!B:B,$I180),0))</f>
      </c>
      <c r="E180">
        <f>IF(A180="","",IFERROR(SUMIFS(Weekly_Log!F:F,Weekly_Log!A:A,$B$1,Weekly_Log!B:B,$I180),0))</f>
      </c>
      <c r="F180">
        <f>IF(A180="","",D180+E180)</f>
      </c>
      <c r="G180">
        <f>IF(A180="","",IF(F180&gt;=C180,"On Track",IF(F180=0,"No Output","Behind")))</f>
      </c>
      <c r="H180">
        <f>IF(A180="","",HYPERLINK(XLOOKUP(A180,Team!A:A,Team!C:C),"Open Feather"))</f>
      </c>
      <c r="I180">
        <f>IF(A180="","",XLOOKUP(A180,Team!A:A,Team!B:B))</f>
      </c>
    </row>
    <row r="181">
      <c r="A181" t="str">
        <v/>
      </c>
      <c r="B181">
        <f>IF(A181="","",XLOOKUP(A181,Team!A:A,Team!D:D))</f>
      </c>
      <c r="C181">
        <f>IF(A181="","",XLOOKUP(A181,Team!A:A,Team!F:F))</f>
      </c>
      <c r="D181">
        <f>IF(A181="","",IFERROR(SUMIFS(Weekly_Log!E:E,Weekly_Log!A:A,$B$1,Weekly_Log!B:B,$I181),0))</f>
      </c>
      <c r="E181">
        <f>IF(A181="","",IFERROR(SUMIFS(Weekly_Log!F:F,Weekly_Log!A:A,$B$1,Weekly_Log!B:B,$I181),0))</f>
      </c>
      <c r="F181">
        <f>IF(A181="","",D181+E181)</f>
      </c>
      <c r="G181">
        <f>IF(A181="","",IF(F181&gt;=C181,"On Track",IF(F181=0,"No Output","Behind")))</f>
      </c>
      <c r="H181">
        <f>IF(A181="","",HYPERLINK(XLOOKUP(A181,Team!A:A,Team!C:C),"Open Feather"))</f>
      </c>
      <c r="I181">
        <f>IF(A181="","",XLOOKUP(A181,Team!A:A,Team!B:B))</f>
      </c>
    </row>
    <row r="182">
      <c r="A182" t="str">
        <v/>
      </c>
      <c r="B182">
        <f>IF(A182="","",XLOOKUP(A182,Team!A:A,Team!D:D))</f>
      </c>
      <c r="C182">
        <f>IF(A182="","",XLOOKUP(A182,Team!A:A,Team!F:F))</f>
      </c>
      <c r="D182">
        <f>IF(A182="","",IFERROR(SUMIFS(Weekly_Log!E:E,Weekly_Log!A:A,$B$1,Weekly_Log!B:B,$I182),0))</f>
      </c>
      <c r="E182">
        <f>IF(A182="","",IFERROR(SUMIFS(Weekly_Log!F:F,Weekly_Log!A:A,$B$1,Weekly_Log!B:B,$I182),0))</f>
      </c>
      <c r="F182">
        <f>IF(A182="","",D182+E182)</f>
      </c>
      <c r="G182">
        <f>IF(A182="","",IF(F182&gt;=C182,"On Track",IF(F182=0,"No Output","Behind")))</f>
      </c>
      <c r="H182">
        <f>IF(A182="","",HYPERLINK(XLOOKUP(A182,Team!A:A,Team!C:C),"Open Feather"))</f>
      </c>
      <c r="I182">
        <f>IF(A182="","",XLOOKUP(A182,Team!A:A,Team!B:B))</f>
      </c>
    </row>
    <row r="183">
      <c r="A183" t="str">
        <v/>
      </c>
      <c r="B183">
        <f>IF(A183="","",XLOOKUP(A183,Team!A:A,Team!D:D))</f>
      </c>
      <c r="C183">
        <f>IF(A183="","",XLOOKUP(A183,Team!A:A,Team!F:F))</f>
      </c>
      <c r="D183">
        <f>IF(A183="","",IFERROR(SUMIFS(Weekly_Log!E:E,Weekly_Log!A:A,$B$1,Weekly_Log!B:B,$I183),0))</f>
      </c>
      <c r="E183">
        <f>IF(A183="","",IFERROR(SUMIFS(Weekly_Log!F:F,Weekly_Log!A:A,$B$1,Weekly_Log!B:B,$I183),0))</f>
      </c>
      <c r="F183">
        <f>IF(A183="","",D183+E183)</f>
      </c>
      <c r="G183">
        <f>IF(A183="","",IF(F183&gt;=C183,"On Track",IF(F183=0,"No Output","Behind")))</f>
      </c>
      <c r="H183">
        <f>IF(A183="","",HYPERLINK(XLOOKUP(A183,Team!A:A,Team!C:C),"Open Feather"))</f>
      </c>
      <c r="I183">
        <f>IF(A183="","",XLOOKUP(A183,Team!A:A,Team!B:B))</f>
      </c>
    </row>
    <row r="184">
      <c r="A184" t="str">
        <v/>
      </c>
      <c r="B184">
        <f>IF(A184="","",XLOOKUP(A184,Team!A:A,Team!D:D))</f>
      </c>
      <c r="C184">
        <f>IF(A184="","",XLOOKUP(A184,Team!A:A,Team!F:F))</f>
      </c>
      <c r="D184">
        <f>IF(A184="","",IFERROR(SUMIFS(Weekly_Log!E:E,Weekly_Log!A:A,$B$1,Weekly_Log!B:B,$I184),0))</f>
      </c>
      <c r="E184">
        <f>IF(A184="","",IFERROR(SUMIFS(Weekly_Log!F:F,Weekly_Log!A:A,$B$1,Weekly_Log!B:B,$I184),0))</f>
      </c>
      <c r="F184">
        <f>IF(A184="","",D184+E184)</f>
      </c>
      <c r="G184">
        <f>IF(A184="","",IF(F184&gt;=C184,"On Track",IF(F184=0,"No Output","Behind")))</f>
      </c>
      <c r="H184">
        <f>IF(A184="","",HYPERLINK(XLOOKUP(A184,Team!A:A,Team!C:C),"Open Feather"))</f>
      </c>
      <c r="I184">
        <f>IF(A184="","",XLOOKUP(A184,Team!A:A,Team!B:B))</f>
      </c>
    </row>
    <row r="185">
      <c r="A185" t="str">
        <v/>
      </c>
      <c r="B185">
        <f>IF(A185="","",XLOOKUP(A185,Team!A:A,Team!D:D))</f>
      </c>
      <c r="C185">
        <f>IF(A185="","",XLOOKUP(A185,Team!A:A,Team!F:F))</f>
      </c>
      <c r="D185">
        <f>IF(A185="","",IFERROR(SUMIFS(Weekly_Log!E:E,Weekly_Log!A:A,$B$1,Weekly_Log!B:B,$I185),0))</f>
      </c>
      <c r="E185">
        <f>IF(A185="","",IFERROR(SUMIFS(Weekly_Log!F:F,Weekly_Log!A:A,$B$1,Weekly_Log!B:B,$I185),0))</f>
      </c>
      <c r="F185">
        <f>IF(A185="","",D185+E185)</f>
      </c>
      <c r="G185">
        <f>IF(A185="","",IF(F185&gt;=C185,"On Track",IF(F185=0,"No Output","Behind")))</f>
      </c>
      <c r="H185">
        <f>IF(A185="","",HYPERLINK(XLOOKUP(A185,Team!A:A,Team!C:C),"Open Feather"))</f>
      </c>
      <c r="I185">
        <f>IF(A185="","",XLOOKUP(A185,Team!A:A,Team!B:B))</f>
      </c>
    </row>
    <row r="186">
      <c r="A186" t="str">
        <v/>
      </c>
      <c r="B186">
        <f>IF(A186="","",XLOOKUP(A186,Team!A:A,Team!D:D))</f>
      </c>
      <c r="C186">
        <f>IF(A186="","",XLOOKUP(A186,Team!A:A,Team!F:F))</f>
      </c>
      <c r="D186">
        <f>IF(A186="","",IFERROR(SUMIFS(Weekly_Log!E:E,Weekly_Log!A:A,$B$1,Weekly_Log!B:B,$I186),0))</f>
      </c>
      <c r="E186">
        <f>IF(A186="","",IFERROR(SUMIFS(Weekly_Log!F:F,Weekly_Log!A:A,$B$1,Weekly_Log!B:B,$I186),0))</f>
      </c>
      <c r="F186">
        <f>IF(A186="","",D186+E186)</f>
      </c>
      <c r="G186">
        <f>IF(A186="","",IF(F186&gt;=C186,"On Track",IF(F186=0,"No Output","Behind")))</f>
      </c>
      <c r="H186">
        <f>IF(A186="","",HYPERLINK(XLOOKUP(A186,Team!A:A,Team!C:C),"Open Feather"))</f>
      </c>
      <c r="I186">
        <f>IF(A186="","",XLOOKUP(A186,Team!A:A,Team!B:B))</f>
      </c>
    </row>
    <row r="187">
      <c r="A187" t="str">
        <v/>
      </c>
      <c r="B187">
        <f>IF(A187="","",XLOOKUP(A187,Team!A:A,Team!D:D))</f>
      </c>
      <c r="C187">
        <f>IF(A187="","",XLOOKUP(A187,Team!A:A,Team!F:F))</f>
      </c>
      <c r="D187">
        <f>IF(A187="","",IFERROR(SUMIFS(Weekly_Log!E:E,Weekly_Log!A:A,$B$1,Weekly_Log!B:B,$I187),0))</f>
      </c>
      <c r="E187">
        <f>IF(A187="","",IFERROR(SUMIFS(Weekly_Log!F:F,Weekly_Log!A:A,$B$1,Weekly_Log!B:B,$I187),0))</f>
      </c>
      <c r="F187">
        <f>IF(A187="","",D187+E187)</f>
      </c>
      <c r="G187">
        <f>IF(A187="","",IF(F187&gt;=C187,"On Track",IF(F187=0,"No Output","Behind")))</f>
      </c>
      <c r="H187">
        <f>IF(A187="","",HYPERLINK(XLOOKUP(A187,Team!A:A,Team!C:C),"Open Feather"))</f>
      </c>
      <c r="I187">
        <f>IF(A187="","",XLOOKUP(A187,Team!A:A,Team!B:B))</f>
      </c>
    </row>
    <row r="188">
      <c r="A188" t="str">
        <v/>
      </c>
      <c r="B188">
        <f>IF(A188="","",XLOOKUP(A188,Team!A:A,Team!D:D))</f>
      </c>
      <c r="C188">
        <f>IF(A188="","",XLOOKUP(A188,Team!A:A,Team!F:F))</f>
      </c>
      <c r="D188">
        <f>IF(A188="","",IFERROR(SUMIFS(Weekly_Log!E:E,Weekly_Log!A:A,$B$1,Weekly_Log!B:B,$I188),0))</f>
      </c>
      <c r="E188">
        <f>IF(A188="","",IFERROR(SUMIFS(Weekly_Log!F:F,Weekly_Log!A:A,$B$1,Weekly_Log!B:B,$I188),0))</f>
      </c>
      <c r="F188">
        <f>IF(A188="","",D188+E188)</f>
      </c>
      <c r="G188">
        <f>IF(A188="","",IF(F188&gt;=C188,"On Track",IF(F188=0,"No Output","Behind")))</f>
      </c>
      <c r="H188">
        <f>IF(A188="","",HYPERLINK(XLOOKUP(A188,Team!A:A,Team!C:C),"Open Feather"))</f>
      </c>
      <c r="I188">
        <f>IF(A188="","",XLOOKUP(A188,Team!A:A,Team!B:B))</f>
      </c>
    </row>
    <row r="189">
      <c r="A189" t="str">
        <v/>
      </c>
      <c r="B189">
        <f>IF(A189="","",XLOOKUP(A189,Team!A:A,Team!D:D))</f>
      </c>
      <c r="C189">
        <f>IF(A189="","",XLOOKUP(A189,Team!A:A,Team!F:F))</f>
      </c>
      <c r="D189">
        <f>IF(A189="","",IFERROR(SUMIFS(Weekly_Log!E:E,Weekly_Log!A:A,$B$1,Weekly_Log!B:B,$I189),0))</f>
      </c>
      <c r="E189">
        <f>IF(A189="","",IFERROR(SUMIFS(Weekly_Log!F:F,Weekly_Log!A:A,$B$1,Weekly_Log!B:B,$I189),0))</f>
      </c>
      <c r="F189">
        <f>IF(A189="","",D189+E189)</f>
      </c>
      <c r="G189">
        <f>IF(A189="","",IF(F189&gt;=C189,"On Track",IF(F189=0,"No Output","Behind")))</f>
      </c>
      <c r="H189">
        <f>IF(A189="","",HYPERLINK(XLOOKUP(A189,Team!A:A,Team!C:C),"Open Feather"))</f>
      </c>
      <c r="I189">
        <f>IF(A189="","",XLOOKUP(A189,Team!A:A,Team!B:B))</f>
      </c>
    </row>
    <row r="190">
      <c r="A190" t="str">
        <v/>
      </c>
      <c r="B190">
        <f>IF(A190="","",XLOOKUP(A190,Team!A:A,Team!D:D))</f>
      </c>
      <c r="C190">
        <f>IF(A190="","",XLOOKUP(A190,Team!A:A,Team!F:F))</f>
      </c>
      <c r="D190">
        <f>IF(A190="","",IFERROR(SUMIFS(Weekly_Log!E:E,Weekly_Log!A:A,$B$1,Weekly_Log!B:B,$I190),0))</f>
      </c>
      <c r="E190">
        <f>IF(A190="","",IFERROR(SUMIFS(Weekly_Log!F:F,Weekly_Log!A:A,$B$1,Weekly_Log!B:B,$I190),0))</f>
      </c>
      <c r="F190">
        <f>IF(A190="","",D190+E190)</f>
      </c>
      <c r="G190">
        <f>IF(A190="","",IF(F190&gt;=C190,"On Track",IF(F190=0,"No Output","Behind")))</f>
      </c>
      <c r="H190">
        <f>IF(A190="","",HYPERLINK(XLOOKUP(A190,Team!A:A,Team!C:C),"Open Feather"))</f>
      </c>
      <c r="I190">
        <f>IF(A190="","",XLOOKUP(A190,Team!A:A,Team!B:B))</f>
      </c>
    </row>
    <row r="191">
      <c r="A191" t="str">
        <v/>
      </c>
      <c r="B191">
        <f>IF(A191="","",XLOOKUP(A191,Team!A:A,Team!D:D))</f>
      </c>
      <c r="C191">
        <f>IF(A191="","",XLOOKUP(A191,Team!A:A,Team!F:F))</f>
      </c>
      <c r="D191">
        <f>IF(A191="","",IFERROR(SUMIFS(Weekly_Log!E:E,Weekly_Log!A:A,$B$1,Weekly_Log!B:B,$I191),0))</f>
      </c>
      <c r="E191">
        <f>IF(A191="","",IFERROR(SUMIFS(Weekly_Log!F:F,Weekly_Log!A:A,$B$1,Weekly_Log!B:B,$I191),0))</f>
      </c>
      <c r="F191">
        <f>IF(A191="","",D191+E191)</f>
      </c>
      <c r="G191">
        <f>IF(A191="","",IF(F191&gt;=C191,"On Track",IF(F191=0,"No Output","Behind")))</f>
      </c>
      <c r="H191">
        <f>IF(A191="","",HYPERLINK(XLOOKUP(A191,Team!A:A,Team!C:C),"Open Feather"))</f>
      </c>
      <c r="I191">
        <f>IF(A191="","",XLOOKUP(A191,Team!A:A,Team!B:B))</f>
      </c>
    </row>
    <row r="192">
      <c r="A192" t="str">
        <v/>
      </c>
      <c r="B192">
        <f>IF(A192="","",XLOOKUP(A192,Team!A:A,Team!D:D))</f>
      </c>
      <c r="C192">
        <f>IF(A192="","",XLOOKUP(A192,Team!A:A,Team!F:F))</f>
      </c>
      <c r="D192">
        <f>IF(A192="","",IFERROR(SUMIFS(Weekly_Log!E:E,Weekly_Log!A:A,$B$1,Weekly_Log!B:B,$I192),0))</f>
      </c>
      <c r="E192">
        <f>IF(A192="","",IFERROR(SUMIFS(Weekly_Log!F:F,Weekly_Log!A:A,$B$1,Weekly_Log!B:B,$I192),0))</f>
      </c>
      <c r="F192">
        <f>IF(A192="","",D192+E192)</f>
      </c>
      <c r="G192">
        <f>IF(A192="","",IF(F192&gt;=C192,"On Track",IF(F192=0,"No Output","Behind")))</f>
      </c>
      <c r="H192">
        <f>IF(A192="","",HYPERLINK(XLOOKUP(A192,Team!A:A,Team!C:C),"Open Feather"))</f>
      </c>
      <c r="I192">
        <f>IF(A192="","",XLOOKUP(A192,Team!A:A,Team!B:B))</f>
      </c>
    </row>
    <row r="193">
      <c r="A193" t="str">
        <v/>
      </c>
      <c r="B193">
        <f>IF(A193="","",XLOOKUP(A193,Team!A:A,Team!D:D))</f>
      </c>
      <c r="C193">
        <f>IF(A193="","",XLOOKUP(A193,Team!A:A,Team!F:F))</f>
      </c>
      <c r="D193">
        <f>IF(A193="","",IFERROR(SUMIFS(Weekly_Log!E:E,Weekly_Log!A:A,$B$1,Weekly_Log!B:B,$I193),0))</f>
      </c>
      <c r="E193">
        <f>IF(A193="","",IFERROR(SUMIFS(Weekly_Log!F:F,Weekly_Log!A:A,$B$1,Weekly_Log!B:B,$I193),0))</f>
      </c>
      <c r="F193">
        <f>IF(A193="","",D193+E193)</f>
      </c>
      <c r="G193">
        <f>IF(A193="","",IF(F193&gt;=C193,"On Track",IF(F193=0,"No Output","Behind")))</f>
      </c>
      <c r="H193">
        <f>IF(A193="","",HYPERLINK(XLOOKUP(A193,Team!A:A,Team!C:C),"Open Feather"))</f>
      </c>
      <c r="I193">
        <f>IF(A193="","",XLOOKUP(A193,Team!A:A,Team!B:B))</f>
      </c>
    </row>
    <row r="194">
      <c r="A194" t="str">
        <v/>
      </c>
      <c r="B194">
        <f>IF(A194="","",XLOOKUP(A194,Team!A:A,Team!D:D))</f>
      </c>
      <c r="C194">
        <f>IF(A194="","",XLOOKUP(A194,Team!A:A,Team!F:F))</f>
      </c>
      <c r="D194">
        <f>IF(A194="","",IFERROR(SUMIFS(Weekly_Log!E:E,Weekly_Log!A:A,$B$1,Weekly_Log!B:B,$I194),0))</f>
      </c>
      <c r="E194">
        <f>IF(A194="","",IFERROR(SUMIFS(Weekly_Log!F:F,Weekly_Log!A:A,$B$1,Weekly_Log!B:B,$I194),0))</f>
      </c>
      <c r="F194">
        <f>IF(A194="","",D194+E194)</f>
      </c>
      <c r="G194">
        <f>IF(A194="","",IF(F194&gt;=C194,"On Track",IF(F194=0,"No Output","Behind")))</f>
      </c>
      <c r="H194">
        <f>IF(A194="","",HYPERLINK(XLOOKUP(A194,Team!A:A,Team!C:C),"Open Feather"))</f>
      </c>
      <c r="I194">
        <f>IF(A194="","",XLOOKUP(A194,Team!A:A,Team!B:B))</f>
      </c>
    </row>
    <row r="195">
      <c r="A195" t="str">
        <v/>
      </c>
      <c r="B195">
        <f>IF(A195="","",XLOOKUP(A195,Team!A:A,Team!D:D))</f>
      </c>
      <c r="C195">
        <f>IF(A195="","",XLOOKUP(A195,Team!A:A,Team!F:F))</f>
      </c>
      <c r="D195">
        <f>IF(A195="","",IFERROR(SUMIFS(Weekly_Log!E:E,Weekly_Log!A:A,$B$1,Weekly_Log!B:B,$I195),0))</f>
      </c>
      <c r="E195">
        <f>IF(A195="","",IFERROR(SUMIFS(Weekly_Log!F:F,Weekly_Log!A:A,$B$1,Weekly_Log!B:B,$I195),0))</f>
      </c>
      <c r="F195">
        <f>IF(A195="","",D195+E195)</f>
      </c>
      <c r="G195">
        <f>IF(A195="","",IF(F195&gt;=C195,"On Track",IF(F195=0,"No Output","Behind")))</f>
      </c>
      <c r="H195">
        <f>IF(A195="","",HYPERLINK(XLOOKUP(A195,Team!A:A,Team!C:C),"Open Feather"))</f>
      </c>
      <c r="I195">
        <f>IF(A195="","",XLOOKUP(A195,Team!A:A,Team!B:B))</f>
      </c>
    </row>
    <row r="196">
      <c r="A196" t="str">
        <v/>
      </c>
      <c r="B196">
        <f>IF(A196="","",XLOOKUP(A196,Team!A:A,Team!D:D))</f>
      </c>
      <c r="C196">
        <f>IF(A196="","",XLOOKUP(A196,Team!A:A,Team!F:F))</f>
      </c>
      <c r="D196">
        <f>IF(A196="","",IFERROR(SUMIFS(Weekly_Log!E:E,Weekly_Log!A:A,$B$1,Weekly_Log!B:B,$I196),0))</f>
      </c>
      <c r="E196">
        <f>IF(A196="","",IFERROR(SUMIFS(Weekly_Log!F:F,Weekly_Log!A:A,$B$1,Weekly_Log!B:B,$I196),0))</f>
      </c>
      <c r="F196">
        <f>IF(A196="","",D196+E196)</f>
      </c>
      <c r="G196">
        <f>IF(A196="","",IF(F196&gt;=C196,"On Track",IF(F196=0,"No Output","Behind")))</f>
      </c>
      <c r="H196">
        <f>IF(A196="","",HYPERLINK(XLOOKUP(A196,Team!A:A,Team!C:C),"Open Feather"))</f>
      </c>
      <c r="I196">
        <f>IF(A196="","",XLOOKUP(A196,Team!A:A,Team!B:B))</f>
      </c>
    </row>
    <row r="197">
      <c r="A197" t="str">
        <v/>
      </c>
      <c r="B197">
        <f>IF(A197="","",XLOOKUP(A197,Team!A:A,Team!D:D))</f>
      </c>
      <c r="C197">
        <f>IF(A197="","",XLOOKUP(A197,Team!A:A,Team!F:F))</f>
      </c>
      <c r="D197">
        <f>IF(A197="","",IFERROR(SUMIFS(Weekly_Log!E:E,Weekly_Log!A:A,$B$1,Weekly_Log!B:B,$I197),0))</f>
      </c>
      <c r="E197">
        <f>IF(A197="","",IFERROR(SUMIFS(Weekly_Log!F:F,Weekly_Log!A:A,$B$1,Weekly_Log!B:B,$I197),0))</f>
      </c>
      <c r="F197">
        <f>IF(A197="","",D197+E197)</f>
      </c>
      <c r="G197">
        <f>IF(A197="","",IF(F197&gt;=C197,"On Track",IF(F197=0,"No Output","Behind")))</f>
      </c>
      <c r="H197">
        <f>IF(A197="","",HYPERLINK(XLOOKUP(A197,Team!A:A,Team!C:C),"Open Feather"))</f>
      </c>
      <c r="I197">
        <f>IF(A197="","",XLOOKUP(A197,Team!A:A,Team!B:B))</f>
      </c>
    </row>
    <row r="198">
      <c r="A198" t="str">
        <v/>
      </c>
      <c r="B198">
        <f>IF(A198="","",XLOOKUP(A198,Team!A:A,Team!D:D))</f>
      </c>
      <c r="C198">
        <f>IF(A198="","",XLOOKUP(A198,Team!A:A,Team!F:F))</f>
      </c>
      <c r="D198">
        <f>IF(A198="","",IFERROR(SUMIFS(Weekly_Log!E:E,Weekly_Log!A:A,$B$1,Weekly_Log!B:B,$I198),0))</f>
      </c>
      <c r="E198">
        <f>IF(A198="","",IFERROR(SUMIFS(Weekly_Log!F:F,Weekly_Log!A:A,$B$1,Weekly_Log!B:B,$I198),0))</f>
      </c>
      <c r="F198">
        <f>IF(A198="","",D198+E198)</f>
      </c>
      <c r="G198">
        <f>IF(A198="","",IF(F198&gt;=C198,"On Track",IF(F198=0,"No Output","Behind")))</f>
      </c>
      <c r="H198">
        <f>IF(A198="","",HYPERLINK(XLOOKUP(A198,Team!A:A,Team!C:C),"Open Feather"))</f>
      </c>
      <c r="I198">
        <f>IF(A198="","",XLOOKUP(A198,Team!A:A,Team!B:B))</f>
      </c>
    </row>
    <row r="199">
      <c r="A199" t="str">
        <v/>
      </c>
      <c r="B199">
        <f>IF(A199="","",XLOOKUP(A199,Team!A:A,Team!D:D))</f>
      </c>
      <c r="C199">
        <f>IF(A199="","",XLOOKUP(A199,Team!A:A,Team!F:F))</f>
      </c>
      <c r="D199">
        <f>IF(A199="","",IFERROR(SUMIFS(Weekly_Log!E:E,Weekly_Log!A:A,$B$1,Weekly_Log!B:B,$I199),0))</f>
      </c>
      <c r="E199">
        <f>IF(A199="","",IFERROR(SUMIFS(Weekly_Log!F:F,Weekly_Log!A:A,$B$1,Weekly_Log!B:B,$I199),0))</f>
      </c>
      <c r="F199">
        <f>IF(A199="","",D199+E199)</f>
      </c>
      <c r="G199">
        <f>IF(A199="","",IF(F199&gt;=C199,"On Track",IF(F199=0,"No Output","Behind")))</f>
      </c>
      <c r="H199">
        <f>IF(A199="","",HYPERLINK(XLOOKUP(A199,Team!A:A,Team!C:C),"Open Feather"))</f>
      </c>
      <c r="I199">
        <f>IF(A199="","",XLOOKUP(A199,Team!A:A,Team!B:B))</f>
      </c>
    </row>
    <row r="200">
      <c r="A200" t="str">
        <v/>
      </c>
      <c r="B200">
        <f>IF(A200="","",XLOOKUP(A200,Team!A:A,Team!D:D))</f>
      </c>
      <c r="C200">
        <f>IF(A200="","",XLOOKUP(A200,Team!A:A,Team!F:F))</f>
      </c>
      <c r="D200">
        <f>IF(A200="","",IFERROR(SUMIFS(Weekly_Log!E:E,Weekly_Log!A:A,$B$1,Weekly_Log!B:B,$I200),0))</f>
      </c>
      <c r="E200">
        <f>IF(A200="","",IFERROR(SUMIFS(Weekly_Log!F:F,Weekly_Log!A:A,$B$1,Weekly_Log!B:B,$I200),0))</f>
      </c>
      <c r="F200">
        <f>IF(A200="","",D200+E200)</f>
      </c>
      <c r="G200">
        <f>IF(A200="","",IF(F200&gt;=C200,"On Track",IF(F200=0,"No Output","Behind")))</f>
      </c>
      <c r="H200">
        <f>IF(A200="","",HYPERLINK(XLOOKUP(A200,Team!A:A,Team!C:C),"Open Feather"))</f>
      </c>
      <c r="I200">
        <f>IF(A200="","",XLOOKUP(A200,Team!A:A,Team!B:B))</f>
      </c>
    </row>
    <row r="201">
      <c r="A201" t="str">
        <v/>
      </c>
      <c r="B201">
        <f>IF(A201="","",XLOOKUP(A201,Team!A:A,Team!D:D))</f>
      </c>
      <c r="C201">
        <f>IF(A201="","",XLOOKUP(A201,Team!A:A,Team!F:F))</f>
      </c>
      <c r="D201">
        <f>IF(A201="","",IFERROR(SUMIFS(Weekly_Log!E:E,Weekly_Log!A:A,$B$1,Weekly_Log!B:B,$I201),0))</f>
      </c>
      <c r="E201">
        <f>IF(A201="","",IFERROR(SUMIFS(Weekly_Log!F:F,Weekly_Log!A:A,$B$1,Weekly_Log!B:B,$I201),0))</f>
      </c>
      <c r="F201">
        <f>IF(A201="","",D201+E201)</f>
      </c>
      <c r="G201">
        <f>IF(A201="","",IF(F201&gt;=C201,"On Track",IF(F201=0,"No Output","Behind")))</f>
      </c>
      <c r="H201">
        <f>IF(A201="","",HYPERLINK(XLOOKUP(A201,Team!A:A,Team!C:C),"Open Feather"))</f>
      </c>
      <c r="I201">
        <f>IF(A201="","",XLOOKUP(A201,Team!A:A,Team!B:B))</f>
      </c>
    </row>
    <row r="202">
      <c r="A202" t="str">
        <v/>
      </c>
      <c r="B202">
        <f>IF(A202="","",XLOOKUP(A202,Team!A:A,Team!D:D))</f>
      </c>
      <c r="C202">
        <f>IF(A202="","",XLOOKUP(A202,Team!A:A,Team!F:F))</f>
      </c>
      <c r="D202">
        <f>IF(A202="","",IFERROR(SUMIFS(Weekly_Log!E:E,Weekly_Log!A:A,$B$1,Weekly_Log!B:B,$I202),0))</f>
      </c>
      <c r="E202">
        <f>IF(A202="","",IFERROR(SUMIFS(Weekly_Log!F:F,Weekly_Log!A:A,$B$1,Weekly_Log!B:B,$I202),0))</f>
      </c>
      <c r="F202">
        <f>IF(A202="","",D202+E202)</f>
      </c>
      <c r="G202">
        <f>IF(A202="","",IF(F202&gt;=C202,"On Track",IF(F202=0,"No Output","Behind")))</f>
      </c>
      <c r="H202">
        <f>IF(A202="","",HYPERLINK(XLOOKUP(A202,Team!A:A,Team!C:C),"Open Feather"))</f>
      </c>
      <c r="I202">
        <f>IF(A202="","",XLOOKUP(A202,Team!A:A,Team!B:B))</f>
      </c>
    </row>
    <row r="203">
      <c r="A203" t="str">
        <v/>
      </c>
      <c r="B203">
        <f>IF(A203="","",XLOOKUP(A203,Team!A:A,Team!D:D))</f>
      </c>
      <c r="C203">
        <f>IF(A203="","",XLOOKUP(A203,Team!A:A,Team!F:F))</f>
      </c>
      <c r="D203">
        <f>IF(A203="","",IFERROR(SUMIFS(Weekly_Log!E:E,Weekly_Log!A:A,$B$1,Weekly_Log!B:B,$I203),0))</f>
      </c>
      <c r="E203">
        <f>IF(A203="","",IFERROR(SUMIFS(Weekly_Log!F:F,Weekly_Log!A:A,$B$1,Weekly_Log!B:B,$I203),0))</f>
      </c>
      <c r="F203">
        <f>IF(A203="","",D203+E203)</f>
      </c>
      <c r="G203">
        <f>IF(A203="","",IF(F203&gt;=C203,"On Track",IF(F203=0,"No Output","Behind")))</f>
      </c>
      <c r="H203">
        <f>IF(A203="","",HYPERLINK(XLOOKUP(A203,Team!A:A,Team!C:C),"Open Feather"))</f>
      </c>
      <c r="I203">
        <f>IF(A203="","",XLOOKUP(A203,Team!A:A,Team!B:B))</f>
      </c>
    </row>
  </sheetData>
  <ignoredErrors>
    <ignoredError numberStoredAsText="1" sqref="A1:I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Reviewer_List</vt:lpstr>
      <vt:lpstr>Team</vt:lpstr>
      <vt:lpstr>Weekly_Log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